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2c59f61e5fb2c22/Documents/GitHub/video-game-performance-scraper-and-web-dashboard/VBA_Old_Version/"/>
    </mc:Choice>
  </mc:AlternateContent>
  <xr:revisionPtr revIDLastSave="1" documentId="13_ncr:1_{6C43F435-CACC-42CB-A575-3A9FBF46C3B0}" xr6:coauthVersionLast="47" xr6:coauthVersionMax="47" xr10:uidLastSave="{1FB9C235-AE23-4964-A9B9-C2C850972775}"/>
  <bookViews>
    <workbookView xWindow="-28920" yWindow="15" windowWidth="29040" windowHeight="15990" tabRatio="805" activeTab="2" xr2:uid="{34B7F90B-3AC7-4BF5-BE98-75F0BAEF4C47}"/>
  </bookViews>
  <sheets>
    <sheet name="Calculator" sheetId="61" r:id="rId1"/>
    <sheet name="Test" sheetId="71" r:id="rId2"/>
    <sheet name="TofuCookies" sheetId="68" r:id="rId3"/>
    <sheet name="TofuLifestyle" sheetId="69" r:id="rId4"/>
    <sheet name="TofuShake" sheetId="70" r:id="rId5"/>
    <sheet name="Template" sheetId="29" r:id="rId6"/>
  </sheets>
  <definedNames>
    <definedName name="_xlnm._FilterDatabase" localSheetId="5" hidden="1">Template!$A$15:$AT$15</definedName>
    <definedName name="_xlnm._FilterDatabase" localSheetId="1" hidden="1">Test!$C$1:$M$1</definedName>
    <definedName name="_xlnm._FilterDatabase" localSheetId="2" hidden="1">TofuCookies!$A$15:$AT$15</definedName>
    <definedName name="_xlnm._FilterDatabase" localSheetId="3" hidden="1">TofuLifestyle!$A$15:$AT$15</definedName>
    <definedName name="_xlnm._FilterDatabase" localSheetId="4" hidden="1">TofuShake!$A$15:$AT$15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7" i="68" l="1"/>
  <c r="A67" i="68" s="1"/>
  <c r="I67" i="68"/>
  <c r="J67" i="68"/>
  <c r="K67" i="68"/>
  <c r="L67" i="68"/>
  <c r="M67" i="68"/>
  <c r="O67" i="68"/>
  <c r="P67" i="68"/>
  <c r="Q67" i="68"/>
  <c r="AI67" i="68"/>
  <c r="AK67" i="68"/>
  <c r="AL67" i="68"/>
  <c r="AM67" i="68"/>
  <c r="AN67" i="68"/>
  <c r="AO67" i="68"/>
  <c r="AP67" i="68"/>
  <c r="AQ67" i="68"/>
  <c r="AR67" i="68"/>
  <c r="AT67" i="68"/>
  <c r="H65" i="68"/>
  <c r="A65" i="68" s="1"/>
  <c r="I65" i="68"/>
  <c r="J65" i="68"/>
  <c r="K65" i="68"/>
  <c r="L65" i="68"/>
  <c r="M65" i="68"/>
  <c r="O65" i="68"/>
  <c r="R65" i="68" s="1"/>
  <c r="P65" i="68"/>
  <c r="Q65" i="68"/>
  <c r="AI65" i="68"/>
  <c r="AK65" i="68"/>
  <c r="AL65" i="68"/>
  <c r="AM65" i="68"/>
  <c r="AN65" i="68"/>
  <c r="AO65" i="68"/>
  <c r="AP65" i="68"/>
  <c r="AQ65" i="68"/>
  <c r="AR65" i="68"/>
  <c r="AT65" i="68"/>
  <c r="H66" i="68"/>
  <c r="A66" i="68" s="1"/>
  <c r="I66" i="68"/>
  <c r="J66" i="68"/>
  <c r="K66" i="68"/>
  <c r="L66" i="68"/>
  <c r="M66" i="68"/>
  <c r="O66" i="68"/>
  <c r="P66" i="68"/>
  <c r="Q66" i="68"/>
  <c r="AI66" i="68"/>
  <c r="AK66" i="68"/>
  <c r="AL66" i="68"/>
  <c r="AM66" i="68"/>
  <c r="AN66" i="68"/>
  <c r="AO66" i="68"/>
  <c r="AP66" i="68"/>
  <c r="AQ66" i="68"/>
  <c r="AR66" i="68"/>
  <c r="AT66" i="68"/>
  <c r="L4" i="71"/>
  <c r="K4" i="71"/>
  <c r="J4" i="71"/>
  <c r="I4" i="71"/>
  <c r="M3" i="71"/>
  <c r="K6" i="71"/>
  <c r="I6" i="71"/>
  <c r="L6" i="71"/>
  <c r="K5" i="71"/>
  <c r="J5" i="71"/>
  <c r="I5" i="71"/>
  <c r="L5" i="71"/>
  <c r="L2" i="71"/>
  <c r="K2" i="71"/>
  <c r="J2" i="71"/>
  <c r="I2" i="71"/>
  <c r="J6" i="71"/>
  <c r="L3" i="71"/>
  <c r="M2" i="71"/>
  <c r="M4" i="71"/>
  <c r="M5" i="71"/>
  <c r="M6" i="71"/>
  <c r="L7" i="71"/>
  <c r="F7" i="71" s="1"/>
  <c r="K7" i="71"/>
  <c r="E7" i="71" s="1"/>
  <c r="J7" i="71"/>
  <c r="I7" i="71"/>
  <c r="M7" i="71"/>
  <c r="AT59" i="70"/>
  <c r="AR59" i="70"/>
  <c r="AQ59" i="70"/>
  <c r="AP59" i="70"/>
  <c r="AO59" i="70"/>
  <c r="AN59" i="70"/>
  <c r="AM59" i="70"/>
  <c r="AL59" i="70"/>
  <c r="AK59" i="70"/>
  <c r="AI59" i="70"/>
  <c r="Q59" i="70"/>
  <c r="P59" i="70"/>
  <c r="M59" i="70"/>
  <c r="L59" i="70"/>
  <c r="K59" i="70"/>
  <c r="J59" i="70"/>
  <c r="I59" i="70"/>
  <c r="H59" i="70"/>
  <c r="D59" i="70"/>
  <c r="AT60" i="70"/>
  <c r="AR60" i="70"/>
  <c r="AQ60" i="70"/>
  <c r="AP60" i="70"/>
  <c r="AO60" i="70"/>
  <c r="AN60" i="70"/>
  <c r="AM60" i="70"/>
  <c r="AL60" i="70"/>
  <c r="AK60" i="70"/>
  <c r="AI60" i="70"/>
  <c r="Q60" i="70"/>
  <c r="P60" i="70"/>
  <c r="M60" i="70"/>
  <c r="L60" i="70"/>
  <c r="K60" i="70"/>
  <c r="J60" i="70"/>
  <c r="I60" i="70"/>
  <c r="H60" i="70"/>
  <c r="D60" i="70"/>
  <c r="AT58" i="70"/>
  <c r="AR58" i="70"/>
  <c r="AQ58" i="70"/>
  <c r="AP58" i="70"/>
  <c r="AO58" i="70"/>
  <c r="AN58" i="70"/>
  <c r="AM58" i="70"/>
  <c r="AL58" i="70"/>
  <c r="AK58" i="70"/>
  <c r="AI58" i="70"/>
  <c r="Q58" i="70"/>
  <c r="P58" i="70"/>
  <c r="M58" i="70"/>
  <c r="L58" i="70"/>
  <c r="K58" i="70"/>
  <c r="J58" i="70"/>
  <c r="I58" i="70"/>
  <c r="H58" i="70"/>
  <c r="D58" i="70"/>
  <c r="AT64" i="70"/>
  <c r="AR64" i="70"/>
  <c r="AQ64" i="70"/>
  <c r="AP64" i="70"/>
  <c r="AO64" i="70"/>
  <c r="AN64" i="70"/>
  <c r="AM64" i="70"/>
  <c r="AL64" i="70"/>
  <c r="AK64" i="70"/>
  <c r="AI64" i="70"/>
  <c r="Q64" i="70"/>
  <c r="R64" i="70" s="1"/>
  <c r="P64" i="70"/>
  <c r="O64" i="70"/>
  <c r="M64" i="70"/>
  <c r="L64" i="70"/>
  <c r="K64" i="70"/>
  <c r="J64" i="70"/>
  <c r="I64" i="70"/>
  <c r="H64" i="70"/>
  <c r="D64" i="70"/>
  <c r="A64" i="70"/>
  <c r="AT55" i="70"/>
  <c r="AR55" i="70"/>
  <c r="AQ55" i="70"/>
  <c r="AP55" i="70"/>
  <c r="AO55" i="70"/>
  <c r="AN55" i="70"/>
  <c r="AM55" i="70"/>
  <c r="AL55" i="70"/>
  <c r="AK55" i="70"/>
  <c r="AI55" i="70"/>
  <c r="Q55" i="70"/>
  <c r="P55" i="70"/>
  <c r="M55" i="70"/>
  <c r="L55" i="70"/>
  <c r="K55" i="70"/>
  <c r="J55" i="70"/>
  <c r="I55" i="70"/>
  <c r="H55" i="70"/>
  <c r="D55" i="70"/>
  <c r="AT63" i="70"/>
  <c r="AR63" i="70"/>
  <c r="AQ63" i="70"/>
  <c r="AP63" i="70"/>
  <c r="AO63" i="70"/>
  <c r="AN63" i="70"/>
  <c r="AM63" i="70"/>
  <c r="AL63" i="70"/>
  <c r="AK63" i="70"/>
  <c r="AI63" i="70"/>
  <c r="Q63" i="70"/>
  <c r="P63" i="70"/>
  <c r="O63" i="70"/>
  <c r="M63" i="70"/>
  <c r="L63" i="70"/>
  <c r="K63" i="70"/>
  <c r="J63" i="70"/>
  <c r="I63" i="70"/>
  <c r="H63" i="70"/>
  <c r="A63" i="70" s="1"/>
  <c r="D63" i="70"/>
  <c r="AT56" i="70"/>
  <c r="AR56" i="70"/>
  <c r="AQ56" i="70"/>
  <c r="AP56" i="70"/>
  <c r="AO56" i="70"/>
  <c r="AN56" i="70"/>
  <c r="AM56" i="70"/>
  <c r="AL56" i="70"/>
  <c r="AK56" i="70"/>
  <c r="AI56" i="70"/>
  <c r="Q56" i="70"/>
  <c r="P56" i="70"/>
  <c r="M56" i="70"/>
  <c r="L56" i="70"/>
  <c r="K56" i="70"/>
  <c r="J56" i="70"/>
  <c r="I56" i="70"/>
  <c r="H56" i="70"/>
  <c r="D56" i="70"/>
  <c r="AT57" i="70"/>
  <c r="AR57" i="70"/>
  <c r="AQ57" i="70"/>
  <c r="AP57" i="70"/>
  <c r="AO57" i="70"/>
  <c r="AN57" i="70"/>
  <c r="AM57" i="70"/>
  <c r="AL57" i="70"/>
  <c r="AK57" i="70"/>
  <c r="AI57" i="70"/>
  <c r="Q57" i="70"/>
  <c r="P57" i="70"/>
  <c r="M57" i="70"/>
  <c r="L57" i="70"/>
  <c r="K57" i="70"/>
  <c r="J57" i="70"/>
  <c r="I57" i="70"/>
  <c r="H57" i="70"/>
  <c r="D57" i="70"/>
  <c r="AT62" i="70"/>
  <c r="AR62" i="70"/>
  <c r="AQ62" i="70"/>
  <c r="AP62" i="70"/>
  <c r="AO62" i="70"/>
  <c r="AN62" i="70"/>
  <c r="AM62" i="70"/>
  <c r="AL62" i="70"/>
  <c r="AK62" i="70"/>
  <c r="AI62" i="70"/>
  <c r="Q62" i="70"/>
  <c r="P62" i="70"/>
  <c r="O62" i="70"/>
  <c r="M62" i="70"/>
  <c r="L62" i="70"/>
  <c r="K62" i="70"/>
  <c r="J62" i="70"/>
  <c r="I62" i="70"/>
  <c r="H62" i="70"/>
  <c r="A62" i="70" s="1"/>
  <c r="D62" i="70"/>
  <c r="AT61" i="70"/>
  <c r="AR61" i="70"/>
  <c r="AQ61" i="70"/>
  <c r="AP61" i="70"/>
  <c r="AO61" i="70"/>
  <c r="AN61" i="70"/>
  <c r="AM61" i="70"/>
  <c r="AL61" i="70"/>
  <c r="AK61" i="70"/>
  <c r="AI61" i="70"/>
  <c r="Q61" i="70"/>
  <c r="R61" i="70" s="1"/>
  <c r="P61" i="70"/>
  <c r="O61" i="70"/>
  <c r="M61" i="70"/>
  <c r="L61" i="70"/>
  <c r="K61" i="70"/>
  <c r="J61" i="70"/>
  <c r="I61" i="70"/>
  <c r="H61" i="70"/>
  <c r="A61" i="70" s="1"/>
  <c r="D61" i="70"/>
  <c r="AT54" i="70"/>
  <c r="AR54" i="70"/>
  <c r="AQ54" i="70"/>
  <c r="AP54" i="70"/>
  <c r="AO54" i="70"/>
  <c r="AN54" i="70"/>
  <c r="AM54" i="70"/>
  <c r="AL54" i="70"/>
  <c r="AK54" i="70"/>
  <c r="AI54" i="70"/>
  <c r="Q54" i="70"/>
  <c r="P54" i="70"/>
  <c r="O54" i="70"/>
  <c r="M54" i="70"/>
  <c r="L54" i="70"/>
  <c r="K54" i="70"/>
  <c r="J54" i="70"/>
  <c r="I54" i="70"/>
  <c r="H54" i="70"/>
  <c r="A54" i="70" s="1"/>
  <c r="D54" i="70"/>
  <c r="AT45" i="70"/>
  <c r="AR45" i="70"/>
  <c r="AQ45" i="70"/>
  <c r="AP45" i="70"/>
  <c r="AO45" i="70"/>
  <c r="AN45" i="70"/>
  <c r="AM45" i="70"/>
  <c r="AL45" i="70"/>
  <c r="AK45" i="70"/>
  <c r="AI45" i="70"/>
  <c r="Q45" i="70"/>
  <c r="P45" i="70"/>
  <c r="M45" i="70"/>
  <c r="L45" i="70"/>
  <c r="K45" i="70"/>
  <c r="J45" i="70"/>
  <c r="I45" i="70"/>
  <c r="H45" i="70"/>
  <c r="D45" i="70"/>
  <c r="AT53" i="70"/>
  <c r="AR53" i="70"/>
  <c r="AQ53" i="70"/>
  <c r="AP53" i="70"/>
  <c r="AO53" i="70"/>
  <c r="AN53" i="70"/>
  <c r="AM53" i="70"/>
  <c r="AL53" i="70"/>
  <c r="AK53" i="70"/>
  <c r="AI53" i="70"/>
  <c r="Q53" i="70"/>
  <c r="R53" i="70" s="1"/>
  <c r="P53" i="70"/>
  <c r="O53" i="70"/>
  <c r="M53" i="70"/>
  <c r="L53" i="70"/>
  <c r="K53" i="70"/>
  <c r="J53" i="70"/>
  <c r="I53" i="70"/>
  <c r="H53" i="70"/>
  <c r="A53" i="70" s="1"/>
  <c r="D53" i="70"/>
  <c r="AT50" i="70"/>
  <c r="AR50" i="70"/>
  <c r="AQ50" i="70"/>
  <c r="AP50" i="70"/>
  <c r="AO50" i="70"/>
  <c r="AN50" i="70"/>
  <c r="AM50" i="70"/>
  <c r="AL50" i="70"/>
  <c r="AK50" i="70"/>
  <c r="AI50" i="70"/>
  <c r="Q50" i="70"/>
  <c r="P50" i="70"/>
  <c r="M50" i="70"/>
  <c r="L50" i="70"/>
  <c r="K50" i="70"/>
  <c r="J50" i="70"/>
  <c r="I50" i="70"/>
  <c r="H50" i="70"/>
  <c r="D50" i="70"/>
  <c r="AT48" i="70"/>
  <c r="AR48" i="70"/>
  <c r="AQ48" i="70"/>
  <c r="AP48" i="70"/>
  <c r="AO48" i="70"/>
  <c r="AN48" i="70"/>
  <c r="AM48" i="70"/>
  <c r="AL48" i="70"/>
  <c r="AK48" i="70"/>
  <c r="AI48" i="70"/>
  <c r="Q48" i="70"/>
  <c r="P48" i="70"/>
  <c r="M48" i="70"/>
  <c r="L48" i="70"/>
  <c r="K48" i="70"/>
  <c r="J48" i="70"/>
  <c r="I48" i="70"/>
  <c r="H48" i="70"/>
  <c r="D48" i="70"/>
  <c r="AT52" i="70"/>
  <c r="AR52" i="70"/>
  <c r="AQ52" i="70"/>
  <c r="AP52" i="70"/>
  <c r="AO52" i="70"/>
  <c r="AN52" i="70"/>
  <c r="AM52" i="70"/>
  <c r="AL52" i="70"/>
  <c r="AK52" i="70"/>
  <c r="AI52" i="70"/>
  <c r="Q52" i="70"/>
  <c r="R52" i="70" s="1"/>
  <c r="P52" i="70"/>
  <c r="O52" i="70"/>
  <c r="M52" i="70"/>
  <c r="L52" i="70"/>
  <c r="K52" i="70"/>
  <c r="J52" i="70"/>
  <c r="I52" i="70"/>
  <c r="H52" i="70"/>
  <c r="D52" i="70"/>
  <c r="A52" i="70"/>
  <c r="AT49" i="70"/>
  <c r="AR49" i="70"/>
  <c r="AQ49" i="70"/>
  <c r="AP49" i="70"/>
  <c r="AO49" i="70"/>
  <c r="AN49" i="70"/>
  <c r="AM49" i="70"/>
  <c r="AL49" i="70"/>
  <c r="AK49" i="70"/>
  <c r="AI49" i="70"/>
  <c r="Q49" i="70"/>
  <c r="P49" i="70"/>
  <c r="M49" i="70"/>
  <c r="L49" i="70"/>
  <c r="K49" i="70"/>
  <c r="J49" i="70"/>
  <c r="I49" i="70"/>
  <c r="H49" i="70"/>
  <c r="D49" i="70"/>
  <c r="AT51" i="70"/>
  <c r="AR51" i="70"/>
  <c r="AQ51" i="70"/>
  <c r="AP51" i="70"/>
  <c r="AO51" i="70"/>
  <c r="AN51" i="70"/>
  <c r="AM51" i="70"/>
  <c r="AL51" i="70"/>
  <c r="AK51" i="70"/>
  <c r="AI51" i="70"/>
  <c r="Q51" i="70"/>
  <c r="P51" i="70"/>
  <c r="O51" i="70"/>
  <c r="M51" i="70"/>
  <c r="L51" i="70"/>
  <c r="K51" i="70"/>
  <c r="J51" i="70"/>
  <c r="I51" i="70"/>
  <c r="H51" i="70"/>
  <c r="A51" i="70" s="1"/>
  <c r="D51" i="70"/>
  <c r="AT43" i="70"/>
  <c r="AR43" i="70"/>
  <c r="AQ43" i="70"/>
  <c r="AP43" i="70"/>
  <c r="AO43" i="70"/>
  <c r="AN43" i="70"/>
  <c r="AM43" i="70"/>
  <c r="AL43" i="70"/>
  <c r="AK43" i="70"/>
  <c r="AI43" i="70"/>
  <c r="Q43" i="70"/>
  <c r="P43" i="70"/>
  <c r="M43" i="70"/>
  <c r="L43" i="70"/>
  <c r="K43" i="70"/>
  <c r="J43" i="70"/>
  <c r="I43" i="70"/>
  <c r="H43" i="70"/>
  <c r="D43" i="70"/>
  <c r="AT44" i="70"/>
  <c r="AR44" i="70"/>
  <c r="AQ44" i="70"/>
  <c r="AP44" i="70"/>
  <c r="AO44" i="70"/>
  <c r="AN44" i="70"/>
  <c r="AM44" i="70"/>
  <c r="AL44" i="70"/>
  <c r="AK44" i="70"/>
  <c r="AI44" i="70"/>
  <c r="Q44" i="70"/>
  <c r="P44" i="70"/>
  <c r="M44" i="70"/>
  <c r="L44" i="70"/>
  <c r="K44" i="70"/>
  <c r="J44" i="70"/>
  <c r="I44" i="70"/>
  <c r="H44" i="70"/>
  <c r="D44" i="70"/>
  <c r="AT46" i="70"/>
  <c r="AR46" i="70"/>
  <c r="AQ46" i="70"/>
  <c r="AP46" i="70"/>
  <c r="AO46" i="70"/>
  <c r="AN46" i="70"/>
  <c r="AM46" i="70"/>
  <c r="AL46" i="70"/>
  <c r="AK46" i="70"/>
  <c r="AI46" i="70"/>
  <c r="Q46" i="70"/>
  <c r="P46" i="70"/>
  <c r="M46" i="70"/>
  <c r="L46" i="70"/>
  <c r="K46" i="70"/>
  <c r="J46" i="70"/>
  <c r="I46" i="70"/>
  <c r="H46" i="70"/>
  <c r="D46" i="70"/>
  <c r="AT47" i="70"/>
  <c r="AR47" i="70"/>
  <c r="AQ47" i="70"/>
  <c r="AP47" i="70"/>
  <c r="AO47" i="70"/>
  <c r="AN47" i="70"/>
  <c r="AM47" i="70"/>
  <c r="AL47" i="70"/>
  <c r="AK47" i="70"/>
  <c r="AI47" i="70"/>
  <c r="Q47" i="70"/>
  <c r="P47" i="70"/>
  <c r="M47" i="70"/>
  <c r="L47" i="70"/>
  <c r="K47" i="70"/>
  <c r="J47" i="70"/>
  <c r="I47" i="70"/>
  <c r="H47" i="70"/>
  <c r="O47" i="70" s="1"/>
  <c r="D47" i="70"/>
  <c r="AT31" i="70"/>
  <c r="AR31" i="70"/>
  <c r="AQ31" i="70"/>
  <c r="AP31" i="70"/>
  <c r="AO31" i="70"/>
  <c r="AN31" i="70"/>
  <c r="AM31" i="70"/>
  <c r="AL31" i="70"/>
  <c r="AK31" i="70"/>
  <c r="AI31" i="70"/>
  <c r="Q31" i="70"/>
  <c r="P31" i="70"/>
  <c r="M31" i="70"/>
  <c r="L31" i="70"/>
  <c r="K31" i="70"/>
  <c r="J31" i="70"/>
  <c r="I31" i="70"/>
  <c r="H31" i="70"/>
  <c r="D31" i="70"/>
  <c r="AT42" i="70"/>
  <c r="AR42" i="70"/>
  <c r="AQ42" i="70"/>
  <c r="AP42" i="70"/>
  <c r="AO42" i="70"/>
  <c r="AN42" i="70"/>
  <c r="AM42" i="70"/>
  <c r="AL42" i="70"/>
  <c r="AK42" i="70"/>
  <c r="AI42" i="70"/>
  <c r="Q42" i="70"/>
  <c r="P42" i="70"/>
  <c r="M42" i="70"/>
  <c r="L42" i="70"/>
  <c r="K42" i="70"/>
  <c r="J42" i="70"/>
  <c r="I42" i="70"/>
  <c r="H42" i="70"/>
  <c r="D42" i="70"/>
  <c r="AT41" i="70"/>
  <c r="AR41" i="70"/>
  <c r="AQ41" i="70"/>
  <c r="AP41" i="70"/>
  <c r="AO41" i="70"/>
  <c r="AN41" i="70"/>
  <c r="AM41" i="70"/>
  <c r="AL41" i="70"/>
  <c r="AK41" i="70"/>
  <c r="AI41" i="70"/>
  <c r="Q41" i="70"/>
  <c r="P41" i="70"/>
  <c r="O41" i="70"/>
  <c r="M41" i="70"/>
  <c r="L41" i="70"/>
  <c r="K41" i="70"/>
  <c r="J41" i="70"/>
  <c r="I41" i="70"/>
  <c r="H41" i="70"/>
  <c r="A41" i="70" s="1"/>
  <c r="D41" i="70"/>
  <c r="AT40" i="70"/>
  <c r="AR40" i="70"/>
  <c r="AQ40" i="70"/>
  <c r="AP40" i="70"/>
  <c r="AO40" i="70"/>
  <c r="AN40" i="70"/>
  <c r="AM40" i="70"/>
  <c r="AL40" i="70"/>
  <c r="AK40" i="70"/>
  <c r="AI40" i="70"/>
  <c r="Q40" i="70"/>
  <c r="P40" i="70"/>
  <c r="O40" i="70"/>
  <c r="M40" i="70"/>
  <c r="L40" i="70"/>
  <c r="K40" i="70"/>
  <c r="J40" i="70"/>
  <c r="I40" i="70"/>
  <c r="H40" i="70"/>
  <c r="A40" i="70" s="1"/>
  <c r="D40" i="70"/>
  <c r="AT34" i="70"/>
  <c r="AR34" i="70"/>
  <c r="AQ34" i="70"/>
  <c r="AP34" i="70"/>
  <c r="AO34" i="70"/>
  <c r="AN34" i="70"/>
  <c r="AM34" i="70"/>
  <c r="AL34" i="70"/>
  <c r="AK34" i="70"/>
  <c r="AI34" i="70"/>
  <c r="Q34" i="70"/>
  <c r="P34" i="70"/>
  <c r="M34" i="70"/>
  <c r="L34" i="70"/>
  <c r="K34" i="70"/>
  <c r="J34" i="70"/>
  <c r="I34" i="70"/>
  <c r="H34" i="70"/>
  <c r="D34" i="70"/>
  <c r="AT36" i="70"/>
  <c r="AR36" i="70"/>
  <c r="AQ36" i="70"/>
  <c r="AP36" i="70"/>
  <c r="AO36" i="70"/>
  <c r="AN36" i="70"/>
  <c r="AM36" i="70"/>
  <c r="AL36" i="70"/>
  <c r="AK36" i="70"/>
  <c r="AI36" i="70"/>
  <c r="Q36" i="70"/>
  <c r="P36" i="70"/>
  <c r="M36" i="70"/>
  <c r="L36" i="70"/>
  <c r="K36" i="70"/>
  <c r="J36" i="70"/>
  <c r="I36" i="70"/>
  <c r="H36" i="70"/>
  <c r="D36" i="70"/>
  <c r="AT35" i="70"/>
  <c r="AR35" i="70"/>
  <c r="AQ35" i="70"/>
  <c r="AP35" i="70"/>
  <c r="AO35" i="70"/>
  <c r="AN35" i="70"/>
  <c r="AM35" i="70"/>
  <c r="AL35" i="70"/>
  <c r="AK35" i="70"/>
  <c r="AI35" i="70"/>
  <c r="Q35" i="70"/>
  <c r="P35" i="70"/>
  <c r="M35" i="70"/>
  <c r="L35" i="70"/>
  <c r="K35" i="70"/>
  <c r="J35" i="70"/>
  <c r="I35" i="70"/>
  <c r="H35" i="70"/>
  <c r="D35" i="70"/>
  <c r="AT32" i="70"/>
  <c r="AR32" i="70"/>
  <c r="AQ32" i="70"/>
  <c r="AP32" i="70"/>
  <c r="AO32" i="70"/>
  <c r="AN32" i="70"/>
  <c r="AM32" i="70"/>
  <c r="AL32" i="70"/>
  <c r="AK32" i="70"/>
  <c r="AI32" i="70"/>
  <c r="Q32" i="70"/>
  <c r="P32" i="70"/>
  <c r="M32" i="70"/>
  <c r="L32" i="70"/>
  <c r="K32" i="70"/>
  <c r="J32" i="70"/>
  <c r="I32" i="70"/>
  <c r="H32" i="70"/>
  <c r="D32" i="70"/>
  <c r="AT38" i="70"/>
  <c r="AR38" i="70"/>
  <c r="AQ38" i="70"/>
  <c r="AP38" i="70"/>
  <c r="AO38" i="70"/>
  <c r="AN38" i="70"/>
  <c r="AM38" i="70"/>
  <c r="AL38" i="70"/>
  <c r="AK38" i="70"/>
  <c r="AI38" i="70"/>
  <c r="Q38" i="70"/>
  <c r="P38" i="70"/>
  <c r="M38" i="70"/>
  <c r="L38" i="70"/>
  <c r="K38" i="70"/>
  <c r="J38" i="70"/>
  <c r="I38" i="70"/>
  <c r="H38" i="70"/>
  <c r="D38" i="70"/>
  <c r="AT33" i="70"/>
  <c r="AR33" i="70"/>
  <c r="AQ33" i="70"/>
  <c r="AP33" i="70"/>
  <c r="AO33" i="70"/>
  <c r="AN33" i="70"/>
  <c r="AM33" i="70"/>
  <c r="AL33" i="70"/>
  <c r="AK33" i="70"/>
  <c r="AI33" i="70"/>
  <c r="Q33" i="70"/>
  <c r="P33" i="70"/>
  <c r="M33" i="70"/>
  <c r="L33" i="70"/>
  <c r="K33" i="70"/>
  <c r="J33" i="70"/>
  <c r="I33" i="70"/>
  <c r="H33" i="70"/>
  <c r="D33" i="70"/>
  <c r="AT37" i="70"/>
  <c r="AR37" i="70"/>
  <c r="AQ37" i="70"/>
  <c r="AP37" i="70"/>
  <c r="AO37" i="70"/>
  <c r="AN37" i="70"/>
  <c r="AM37" i="70"/>
  <c r="AL37" i="70"/>
  <c r="AK37" i="70"/>
  <c r="AI37" i="70"/>
  <c r="Q37" i="70"/>
  <c r="P37" i="70"/>
  <c r="M37" i="70"/>
  <c r="L37" i="70"/>
  <c r="K37" i="70"/>
  <c r="J37" i="70"/>
  <c r="I37" i="70"/>
  <c r="H37" i="70"/>
  <c r="D37" i="70"/>
  <c r="AT39" i="70"/>
  <c r="AR39" i="70"/>
  <c r="AQ39" i="70"/>
  <c r="AP39" i="70"/>
  <c r="AO39" i="70"/>
  <c r="AN39" i="70"/>
  <c r="AM39" i="70"/>
  <c r="AL39" i="70"/>
  <c r="AK39" i="70"/>
  <c r="AI39" i="70"/>
  <c r="Q39" i="70"/>
  <c r="P39" i="70"/>
  <c r="O39" i="70"/>
  <c r="M39" i="70"/>
  <c r="L39" i="70"/>
  <c r="K39" i="70"/>
  <c r="J39" i="70"/>
  <c r="I39" i="70"/>
  <c r="H39" i="70"/>
  <c r="A39" i="70" s="1"/>
  <c r="D39" i="70"/>
  <c r="AT22" i="70"/>
  <c r="AR22" i="70"/>
  <c r="AQ22" i="70"/>
  <c r="AP22" i="70"/>
  <c r="AO22" i="70"/>
  <c r="AN22" i="70"/>
  <c r="AM22" i="70"/>
  <c r="AL22" i="70"/>
  <c r="AK22" i="70"/>
  <c r="AI22" i="70"/>
  <c r="Q22" i="70"/>
  <c r="P22" i="70"/>
  <c r="M22" i="70"/>
  <c r="L22" i="70"/>
  <c r="K22" i="70"/>
  <c r="J22" i="70"/>
  <c r="I22" i="70"/>
  <c r="H22" i="70"/>
  <c r="D22" i="70"/>
  <c r="AT30" i="70"/>
  <c r="AR30" i="70"/>
  <c r="AQ30" i="70"/>
  <c r="AP30" i="70"/>
  <c r="AO30" i="70"/>
  <c r="AN30" i="70"/>
  <c r="AM30" i="70"/>
  <c r="AL30" i="70"/>
  <c r="AK30" i="70"/>
  <c r="AI30" i="70"/>
  <c r="Q30" i="70"/>
  <c r="P30" i="70"/>
  <c r="O30" i="70"/>
  <c r="M30" i="70"/>
  <c r="L30" i="70"/>
  <c r="K30" i="70"/>
  <c r="J30" i="70"/>
  <c r="I30" i="70"/>
  <c r="H30" i="70"/>
  <c r="A30" i="70" s="1"/>
  <c r="D30" i="70"/>
  <c r="AT23" i="70"/>
  <c r="AR23" i="70"/>
  <c r="AQ23" i="70"/>
  <c r="AP23" i="70"/>
  <c r="AO23" i="70"/>
  <c r="AN23" i="70"/>
  <c r="AM23" i="70"/>
  <c r="AL23" i="70"/>
  <c r="AK23" i="70"/>
  <c r="AI23" i="70"/>
  <c r="Q23" i="70"/>
  <c r="P23" i="70"/>
  <c r="M23" i="70"/>
  <c r="L23" i="70"/>
  <c r="K23" i="70"/>
  <c r="J23" i="70"/>
  <c r="I23" i="70"/>
  <c r="H23" i="70"/>
  <c r="D23" i="70"/>
  <c r="AT29" i="70"/>
  <c r="AR29" i="70"/>
  <c r="AQ29" i="70"/>
  <c r="AP29" i="70"/>
  <c r="AO29" i="70"/>
  <c r="AN29" i="70"/>
  <c r="AM29" i="70"/>
  <c r="AL29" i="70"/>
  <c r="AK29" i="70"/>
  <c r="AI29" i="70"/>
  <c r="Q29" i="70"/>
  <c r="P29" i="70"/>
  <c r="O29" i="70"/>
  <c r="M29" i="70"/>
  <c r="L29" i="70"/>
  <c r="K29" i="70"/>
  <c r="J29" i="70"/>
  <c r="I29" i="70"/>
  <c r="H29" i="70"/>
  <c r="A29" i="70" s="1"/>
  <c r="D29" i="70"/>
  <c r="AT19" i="70"/>
  <c r="AR19" i="70"/>
  <c r="AQ19" i="70"/>
  <c r="AP19" i="70"/>
  <c r="AO19" i="70"/>
  <c r="AN19" i="70"/>
  <c r="AM19" i="70"/>
  <c r="AL19" i="70"/>
  <c r="AK19" i="70"/>
  <c r="AI19" i="70"/>
  <c r="Q19" i="70"/>
  <c r="P19" i="70"/>
  <c r="M19" i="70"/>
  <c r="L19" i="70"/>
  <c r="K19" i="70"/>
  <c r="J19" i="70"/>
  <c r="I19" i="70"/>
  <c r="H19" i="70"/>
  <c r="D19" i="70"/>
  <c r="AT28" i="70"/>
  <c r="AR28" i="70"/>
  <c r="AQ28" i="70"/>
  <c r="AP28" i="70"/>
  <c r="AO28" i="70"/>
  <c r="AN28" i="70"/>
  <c r="AM28" i="70"/>
  <c r="AL28" i="70"/>
  <c r="AK28" i="70"/>
  <c r="AI28" i="70"/>
  <c r="Q28" i="70"/>
  <c r="P28" i="70"/>
  <c r="O28" i="70"/>
  <c r="M28" i="70"/>
  <c r="L28" i="70"/>
  <c r="K28" i="70"/>
  <c r="J28" i="70"/>
  <c r="I28" i="70"/>
  <c r="H28" i="70"/>
  <c r="A28" i="70" s="1"/>
  <c r="D28" i="70"/>
  <c r="AT17" i="70"/>
  <c r="AR17" i="70"/>
  <c r="AQ17" i="70"/>
  <c r="AP17" i="70"/>
  <c r="AO17" i="70"/>
  <c r="AN17" i="70"/>
  <c r="AM17" i="70"/>
  <c r="AL17" i="70"/>
  <c r="AK17" i="70"/>
  <c r="AI17" i="70"/>
  <c r="Q17" i="70"/>
  <c r="P17" i="70"/>
  <c r="M17" i="70"/>
  <c r="L17" i="70"/>
  <c r="K17" i="70"/>
  <c r="J17" i="70"/>
  <c r="I17" i="70"/>
  <c r="H17" i="70"/>
  <c r="D17" i="70"/>
  <c r="AT16" i="70"/>
  <c r="AR16" i="70"/>
  <c r="AQ16" i="70"/>
  <c r="AP16" i="70"/>
  <c r="AO16" i="70"/>
  <c r="AN16" i="70"/>
  <c r="AM16" i="70"/>
  <c r="AL16" i="70"/>
  <c r="AK16" i="70"/>
  <c r="AI16" i="70"/>
  <c r="Q16" i="70"/>
  <c r="P16" i="70"/>
  <c r="M16" i="70"/>
  <c r="L16" i="70"/>
  <c r="K16" i="70"/>
  <c r="J16" i="70"/>
  <c r="I16" i="70"/>
  <c r="H16" i="70"/>
  <c r="AT21" i="70"/>
  <c r="AR21" i="70"/>
  <c r="AQ21" i="70"/>
  <c r="AP21" i="70"/>
  <c r="AO21" i="70"/>
  <c r="AN21" i="70"/>
  <c r="AM21" i="70"/>
  <c r="AL21" i="70"/>
  <c r="AK21" i="70"/>
  <c r="AI21" i="70"/>
  <c r="Q21" i="70"/>
  <c r="P21" i="70"/>
  <c r="M21" i="70"/>
  <c r="L21" i="70"/>
  <c r="K21" i="70"/>
  <c r="J21" i="70"/>
  <c r="I21" i="70"/>
  <c r="H21" i="70"/>
  <c r="D21" i="70"/>
  <c r="AT27" i="70"/>
  <c r="AR27" i="70"/>
  <c r="AQ27" i="70"/>
  <c r="AP27" i="70"/>
  <c r="AO27" i="70"/>
  <c r="AN27" i="70"/>
  <c r="AM27" i="70"/>
  <c r="AL27" i="70"/>
  <c r="AK27" i="70"/>
  <c r="AI27" i="70"/>
  <c r="Q27" i="70"/>
  <c r="P27" i="70"/>
  <c r="O27" i="70"/>
  <c r="M27" i="70"/>
  <c r="L27" i="70"/>
  <c r="K27" i="70"/>
  <c r="J27" i="70"/>
  <c r="I27" i="70"/>
  <c r="H27" i="70"/>
  <c r="A27" i="70" s="1"/>
  <c r="D27" i="70"/>
  <c r="AT26" i="70"/>
  <c r="AR26" i="70"/>
  <c r="AQ26" i="70"/>
  <c r="AP26" i="70"/>
  <c r="AO26" i="70"/>
  <c r="AN26" i="70"/>
  <c r="AM26" i="70"/>
  <c r="AL26" i="70"/>
  <c r="AK26" i="70"/>
  <c r="AI26" i="70"/>
  <c r="Q26" i="70"/>
  <c r="P26" i="70"/>
  <c r="O26" i="70"/>
  <c r="R26" i="70" s="1"/>
  <c r="M26" i="70"/>
  <c r="L26" i="70"/>
  <c r="K26" i="70"/>
  <c r="J26" i="70"/>
  <c r="I26" i="70"/>
  <c r="H26" i="70"/>
  <c r="A26" i="70" s="1"/>
  <c r="D26" i="70"/>
  <c r="AT25" i="70"/>
  <c r="AR25" i="70"/>
  <c r="AQ25" i="70"/>
  <c r="AP25" i="70"/>
  <c r="AO25" i="70"/>
  <c r="AN25" i="70"/>
  <c r="AM25" i="70"/>
  <c r="AL25" i="70"/>
  <c r="AK25" i="70"/>
  <c r="AI25" i="70"/>
  <c r="Q25" i="70"/>
  <c r="P25" i="70"/>
  <c r="O25" i="70"/>
  <c r="M25" i="70"/>
  <c r="L25" i="70"/>
  <c r="K25" i="70"/>
  <c r="J25" i="70"/>
  <c r="I25" i="70"/>
  <c r="H25" i="70"/>
  <c r="A25" i="70" s="1"/>
  <c r="D25" i="70"/>
  <c r="AT20" i="70"/>
  <c r="AR20" i="70"/>
  <c r="AQ20" i="70"/>
  <c r="AP20" i="70"/>
  <c r="AO20" i="70"/>
  <c r="AN20" i="70"/>
  <c r="AM20" i="70"/>
  <c r="AL20" i="70"/>
  <c r="AK20" i="70"/>
  <c r="AI20" i="70"/>
  <c r="Q20" i="70"/>
  <c r="P20" i="70"/>
  <c r="M20" i="70"/>
  <c r="L20" i="70"/>
  <c r="K20" i="70"/>
  <c r="J20" i="70"/>
  <c r="I20" i="70"/>
  <c r="H20" i="70"/>
  <c r="D20" i="70"/>
  <c r="AT18" i="70"/>
  <c r="AR18" i="70"/>
  <c r="AQ18" i="70"/>
  <c r="AP18" i="70"/>
  <c r="AO18" i="70"/>
  <c r="AN18" i="70"/>
  <c r="AM18" i="70"/>
  <c r="AL18" i="70"/>
  <c r="AK18" i="70"/>
  <c r="AI18" i="70"/>
  <c r="Q18" i="70"/>
  <c r="P18" i="70"/>
  <c r="M18" i="70"/>
  <c r="L18" i="70"/>
  <c r="K18" i="70"/>
  <c r="J18" i="70"/>
  <c r="I18" i="70"/>
  <c r="H18" i="70"/>
  <c r="D18" i="70"/>
  <c r="AQ12" i="70" s="1"/>
  <c r="AT24" i="70"/>
  <c r="AR24" i="70"/>
  <c r="AQ24" i="70"/>
  <c r="AP24" i="70"/>
  <c r="AO24" i="70"/>
  <c r="AN24" i="70"/>
  <c r="AM24" i="70"/>
  <c r="AL24" i="70"/>
  <c r="AK24" i="70"/>
  <c r="AI24" i="70"/>
  <c r="Q24" i="70"/>
  <c r="P24" i="70"/>
  <c r="M24" i="70"/>
  <c r="L24" i="70"/>
  <c r="K24" i="70"/>
  <c r="J24" i="70"/>
  <c r="I24" i="70"/>
  <c r="H24" i="70"/>
  <c r="A24" i="70" s="1"/>
  <c r="D24" i="70"/>
  <c r="AK10" i="70"/>
  <c r="M8" i="70"/>
  <c r="AT6" i="70"/>
  <c r="AR6" i="70"/>
  <c r="AQ6" i="70"/>
  <c r="AP6" i="70"/>
  <c r="AO6" i="70"/>
  <c r="AN6" i="70"/>
  <c r="AM6" i="70"/>
  <c r="AL6" i="70"/>
  <c r="AK6" i="70"/>
  <c r="AH6" i="70"/>
  <c r="AI6" i="70" s="1"/>
  <c r="Q6" i="70"/>
  <c r="O6" i="70"/>
  <c r="M6" i="70"/>
  <c r="L6" i="70"/>
  <c r="K6" i="70"/>
  <c r="J6" i="70"/>
  <c r="I6" i="70"/>
  <c r="AT5" i="70"/>
  <c r="AR5" i="70"/>
  <c r="AQ5" i="70"/>
  <c r="AP5" i="70"/>
  <c r="AO5" i="70"/>
  <c r="AN5" i="70"/>
  <c r="AM5" i="70"/>
  <c r="AL5" i="70"/>
  <c r="AK5" i="70"/>
  <c r="AH5" i="70"/>
  <c r="AI5" i="70" s="1"/>
  <c r="Q5" i="70"/>
  <c r="O5" i="70"/>
  <c r="M5" i="70"/>
  <c r="L5" i="70"/>
  <c r="K5" i="70"/>
  <c r="J5" i="70"/>
  <c r="I5" i="70"/>
  <c r="AT4" i="70"/>
  <c r="AR4" i="70"/>
  <c r="AQ4" i="70"/>
  <c r="AP4" i="70"/>
  <c r="AO4" i="70"/>
  <c r="AN4" i="70"/>
  <c r="AM4" i="70"/>
  <c r="AL4" i="70"/>
  <c r="AK4" i="70"/>
  <c r="AH4" i="70"/>
  <c r="AI4" i="70" s="1"/>
  <c r="Q4" i="70"/>
  <c r="O4" i="70"/>
  <c r="M4" i="70"/>
  <c r="L4" i="70"/>
  <c r="K4" i="70"/>
  <c r="J4" i="70"/>
  <c r="I4" i="70"/>
  <c r="AT3" i="70"/>
  <c r="AR3" i="70"/>
  <c r="AQ3" i="70"/>
  <c r="AP3" i="70"/>
  <c r="AO3" i="70"/>
  <c r="AN3" i="70"/>
  <c r="AM3" i="70"/>
  <c r="AL3" i="70"/>
  <c r="AK3" i="70"/>
  <c r="AH3" i="70"/>
  <c r="Q3" i="70"/>
  <c r="M3" i="70"/>
  <c r="L3" i="70"/>
  <c r="K3" i="70"/>
  <c r="J3" i="70"/>
  <c r="I3" i="70"/>
  <c r="AR2" i="70"/>
  <c r="AQ2" i="70"/>
  <c r="AP2" i="70"/>
  <c r="AO2" i="70"/>
  <c r="AN2" i="70"/>
  <c r="AM2" i="70"/>
  <c r="AL2" i="70"/>
  <c r="AK2" i="70"/>
  <c r="M2" i="70"/>
  <c r="L2" i="70"/>
  <c r="K2" i="70"/>
  <c r="J2" i="70"/>
  <c r="I2" i="70"/>
  <c r="F2" i="70"/>
  <c r="E2" i="70"/>
  <c r="Q2" i="70" s="1"/>
  <c r="D2" i="70"/>
  <c r="O2" i="70" s="1"/>
  <c r="AT61" i="69"/>
  <c r="AR61" i="69"/>
  <c r="AQ61" i="69"/>
  <c r="AP61" i="69"/>
  <c r="AO61" i="69"/>
  <c r="AN61" i="69"/>
  <c r="AM61" i="69"/>
  <c r="AL61" i="69"/>
  <c r="AK61" i="69"/>
  <c r="AI61" i="69"/>
  <c r="Q61" i="69"/>
  <c r="P61" i="69"/>
  <c r="M61" i="69"/>
  <c r="L61" i="69"/>
  <c r="K61" i="69"/>
  <c r="J61" i="69"/>
  <c r="I61" i="69"/>
  <c r="H61" i="69"/>
  <c r="D61" i="69"/>
  <c r="AT64" i="69"/>
  <c r="AR64" i="69"/>
  <c r="AQ64" i="69"/>
  <c r="AP64" i="69"/>
  <c r="AO64" i="69"/>
  <c r="AN64" i="69"/>
  <c r="AM64" i="69"/>
  <c r="AL64" i="69"/>
  <c r="AK64" i="69"/>
  <c r="AI64" i="69"/>
  <c r="Q64" i="69"/>
  <c r="P64" i="69"/>
  <c r="M64" i="69"/>
  <c r="L64" i="69"/>
  <c r="K64" i="69"/>
  <c r="J64" i="69"/>
  <c r="I64" i="69"/>
  <c r="H64" i="69"/>
  <c r="D64" i="69"/>
  <c r="AT58" i="69"/>
  <c r="AR58" i="69"/>
  <c r="AQ58" i="69"/>
  <c r="AP58" i="69"/>
  <c r="AO58" i="69"/>
  <c r="AN58" i="69"/>
  <c r="AM58" i="69"/>
  <c r="AL58" i="69"/>
  <c r="AK58" i="69"/>
  <c r="AI58" i="69"/>
  <c r="Q58" i="69"/>
  <c r="P58" i="69"/>
  <c r="M58" i="69"/>
  <c r="L58" i="69"/>
  <c r="K58" i="69"/>
  <c r="J58" i="69"/>
  <c r="I58" i="69"/>
  <c r="H58" i="69"/>
  <c r="D58" i="69"/>
  <c r="AT63" i="69"/>
  <c r="AR63" i="69"/>
  <c r="AQ63" i="69"/>
  <c r="AP63" i="69"/>
  <c r="AO63" i="69"/>
  <c r="AN63" i="69"/>
  <c r="AM63" i="69"/>
  <c r="AL63" i="69"/>
  <c r="AK63" i="69"/>
  <c r="AI63" i="69"/>
  <c r="Q63" i="69"/>
  <c r="P63" i="69"/>
  <c r="M63" i="69"/>
  <c r="L63" i="69"/>
  <c r="K63" i="69"/>
  <c r="J63" i="69"/>
  <c r="I63" i="69"/>
  <c r="H63" i="69"/>
  <c r="D63" i="69"/>
  <c r="AT60" i="69"/>
  <c r="AR60" i="69"/>
  <c r="AQ60" i="69"/>
  <c r="AP60" i="69"/>
  <c r="AO60" i="69"/>
  <c r="AN60" i="69"/>
  <c r="AM60" i="69"/>
  <c r="AL60" i="69"/>
  <c r="AK60" i="69"/>
  <c r="AI60" i="69"/>
  <c r="Q60" i="69"/>
  <c r="P60" i="69"/>
  <c r="M60" i="69"/>
  <c r="L60" i="69"/>
  <c r="K60" i="69"/>
  <c r="J60" i="69"/>
  <c r="I60" i="69"/>
  <c r="H60" i="69"/>
  <c r="D60" i="69"/>
  <c r="AT59" i="69"/>
  <c r="AR59" i="69"/>
  <c r="AQ59" i="69"/>
  <c r="AP59" i="69"/>
  <c r="AO59" i="69"/>
  <c r="AN59" i="69"/>
  <c r="AM59" i="69"/>
  <c r="AL59" i="69"/>
  <c r="AK59" i="69"/>
  <c r="AI59" i="69"/>
  <c r="Q59" i="69"/>
  <c r="P59" i="69"/>
  <c r="M59" i="69"/>
  <c r="L59" i="69"/>
  <c r="K59" i="69"/>
  <c r="J59" i="69"/>
  <c r="I59" i="69"/>
  <c r="H59" i="69"/>
  <c r="D59" i="69"/>
  <c r="AT62" i="69"/>
  <c r="AR62" i="69"/>
  <c r="AQ62" i="69"/>
  <c r="AP62" i="69"/>
  <c r="AO62" i="69"/>
  <c r="AN62" i="69"/>
  <c r="AM62" i="69"/>
  <c r="AL62" i="69"/>
  <c r="AK62" i="69"/>
  <c r="AI62" i="69"/>
  <c r="Q62" i="69"/>
  <c r="P62" i="69"/>
  <c r="M62" i="69"/>
  <c r="L62" i="69"/>
  <c r="K62" i="69"/>
  <c r="J62" i="69"/>
  <c r="I62" i="69"/>
  <c r="H62" i="69"/>
  <c r="D62" i="69"/>
  <c r="AT57" i="69"/>
  <c r="AR57" i="69"/>
  <c r="AQ57" i="69"/>
  <c r="AP57" i="69"/>
  <c r="AO57" i="69"/>
  <c r="AN57" i="69"/>
  <c r="AM57" i="69"/>
  <c r="AL57" i="69"/>
  <c r="AK57" i="69"/>
  <c r="AI57" i="69"/>
  <c r="Q57" i="69"/>
  <c r="P57" i="69"/>
  <c r="M57" i="69"/>
  <c r="L57" i="69"/>
  <c r="K57" i="69"/>
  <c r="J57" i="69"/>
  <c r="I57" i="69"/>
  <c r="H57" i="69"/>
  <c r="D57" i="69"/>
  <c r="AT56" i="69"/>
  <c r="AR56" i="69"/>
  <c r="AQ56" i="69"/>
  <c r="AP56" i="69"/>
  <c r="AO56" i="69"/>
  <c r="AN56" i="69"/>
  <c r="AM56" i="69"/>
  <c r="AL56" i="69"/>
  <c r="AK56" i="69"/>
  <c r="AI56" i="69"/>
  <c r="Q56" i="69"/>
  <c r="P56" i="69"/>
  <c r="M56" i="69"/>
  <c r="L56" i="69"/>
  <c r="K56" i="69"/>
  <c r="J56" i="69"/>
  <c r="I56" i="69"/>
  <c r="H56" i="69"/>
  <c r="D56" i="69"/>
  <c r="AT55" i="69"/>
  <c r="AR55" i="69"/>
  <c r="AQ55" i="69"/>
  <c r="AP55" i="69"/>
  <c r="AO55" i="69"/>
  <c r="AN55" i="69"/>
  <c r="AM55" i="69"/>
  <c r="AL55" i="69"/>
  <c r="AK55" i="69"/>
  <c r="AI55" i="69"/>
  <c r="Q55" i="69"/>
  <c r="P55" i="69"/>
  <c r="M55" i="69"/>
  <c r="L55" i="69"/>
  <c r="K55" i="69"/>
  <c r="J55" i="69"/>
  <c r="I55" i="69"/>
  <c r="H55" i="69"/>
  <c r="D55" i="69"/>
  <c r="AT54" i="69"/>
  <c r="AR54" i="69"/>
  <c r="AQ54" i="69"/>
  <c r="AP54" i="69"/>
  <c r="AO54" i="69"/>
  <c r="AN54" i="69"/>
  <c r="AM54" i="69"/>
  <c r="AL54" i="69"/>
  <c r="AK54" i="69"/>
  <c r="AI54" i="69"/>
  <c r="Q54" i="69"/>
  <c r="P54" i="69"/>
  <c r="O54" i="69"/>
  <c r="M54" i="69"/>
  <c r="L54" i="69"/>
  <c r="K54" i="69"/>
  <c r="J54" i="69"/>
  <c r="I54" i="69"/>
  <c r="H54" i="69"/>
  <c r="A54" i="69" s="1"/>
  <c r="D54" i="69"/>
  <c r="AT50" i="69"/>
  <c r="AR50" i="69"/>
  <c r="AQ50" i="69"/>
  <c r="AP50" i="69"/>
  <c r="AO50" i="69"/>
  <c r="AN50" i="69"/>
  <c r="AM50" i="69"/>
  <c r="AL50" i="69"/>
  <c r="AK50" i="69"/>
  <c r="AI50" i="69"/>
  <c r="Q50" i="69"/>
  <c r="P50" i="69"/>
  <c r="M50" i="69"/>
  <c r="L50" i="69"/>
  <c r="K50" i="69"/>
  <c r="J50" i="69"/>
  <c r="I50" i="69"/>
  <c r="H50" i="69"/>
  <c r="D50" i="69"/>
  <c r="AT53" i="69"/>
  <c r="AR53" i="69"/>
  <c r="AQ53" i="69"/>
  <c r="AP53" i="69"/>
  <c r="AO53" i="69"/>
  <c r="AN53" i="69"/>
  <c r="AM53" i="69"/>
  <c r="AL53" i="69"/>
  <c r="AK53" i="69"/>
  <c r="AI53" i="69"/>
  <c r="Q53" i="69"/>
  <c r="P53" i="69"/>
  <c r="O53" i="69"/>
  <c r="M53" i="69"/>
  <c r="L53" i="69"/>
  <c r="K53" i="69"/>
  <c r="J53" i="69"/>
  <c r="I53" i="69"/>
  <c r="H53" i="69"/>
  <c r="A53" i="69" s="1"/>
  <c r="D53" i="69"/>
  <c r="AT44" i="69"/>
  <c r="AR44" i="69"/>
  <c r="AQ44" i="69"/>
  <c r="AP44" i="69"/>
  <c r="AO44" i="69"/>
  <c r="AN44" i="69"/>
  <c r="AM44" i="69"/>
  <c r="AL44" i="69"/>
  <c r="AK44" i="69"/>
  <c r="AI44" i="69"/>
  <c r="Q44" i="69"/>
  <c r="P44" i="69"/>
  <c r="M44" i="69"/>
  <c r="L44" i="69"/>
  <c r="K44" i="69"/>
  <c r="J44" i="69"/>
  <c r="I44" i="69"/>
  <c r="H44" i="69"/>
  <c r="D44" i="69"/>
  <c r="AT52" i="69"/>
  <c r="AR52" i="69"/>
  <c r="AQ52" i="69"/>
  <c r="AP52" i="69"/>
  <c r="AO52" i="69"/>
  <c r="AN52" i="69"/>
  <c r="AM52" i="69"/>
  <c r="AL52" i="69"/>
  <c r="AK52" i="69"/>
  <c r="AI52" i="69"/>
  <c r="Q52" i="69"/>
  <c r="P52" i="69"/>
  <c r="M52" i="69"/>
  <c r="L52" i="69"/>
  <c r="K52" i="69"/>
  <c r="J52" i="69"/>
  <c r="I52" i="69"/>
  <c r="H52" i="69"/>
  <c r="D52" i="69"/>
  <c r="AT43" i="69"/>
  <c r="AR43" i="69"/>
  <c r="AQ43" i="69"/>
  <c r="AP43" i="69"/>
  <c r="AO43" i="69"/>
  <c r="AN43" i="69"/>
  <c r="AM43" i="69"/>
  <c r="AL43" i="69"/>
  <c r="AK43" i="69"/>
  <c r="AI43" i="69"/>
  <c r="Q43" i="69"/>
  <c r="P43" i="69"/>
  <c r="M43" i="69"/>
  <c r="L43" i="69"/>
  <c r="K43" i="69"/>
  <c r="J43" i="69"/>
  <c r="I43" i="69"/>
  <c r="H43" i="69"/>
  <c r="D43" i="69"/>
  <c r="AT48" i="69"/>
  <c r="AR48" i="69"/>
  <c r="AQ48" i="69"/>
  <c r="AP48" i="69"/>
  <c r="AO48" i="69"/>
  <c r="AN48" i="69"/>
  <c r="AM48" i="69"/>
  <c r="AL48" i="69"/>
  <c r="AK48" i="69"/>
  <c r="AI48" i="69"/>
  <c r="Q48" i="69"/>
  <c r="P48" i="69"/>
  <c r="M48" i="69"/>
  <c r="L48" i="69"/>
  <c r="K48" i="69"/>
  <c r="J48" i="69"/>
  <c r="I48" i="69"/>
  <c r="H48" i="69"/>
  <c r="D48" i="69"/>
  <c r="AT49" i="69"/>
  <c r="AR49" i="69"/>
  <c r="AQ49" i="69"/>
  <c r="AP49" i="69"/>
  <c r="AO49" i="69"/>
  <c r="AN49" i="69"/>
  <c r="AM49" i="69"/>
  <c r="AL49" i="69"/>
  <c r="AK49" i="69"/>
  <c r="AI49" i="69"/>
  <c r="Q49" i="69"/>
  <c r="P49" i="69"/>
  <c r="M49" i="69"/>
  <c r="L49" i="69"/>
  <c r="K49" i="69"/>
  <c r="J49" i="69"/>
  <c r="I49" i="69"/>
  <c r="H49" i="69"/>
  <c r="D49" i="69"/>
  <c r="AT45" i="69"/>
  <c r="AR45" i="69"/>
  <c r="AQ45" i="69"/>
  <c r="AP45" i="69"/>
  <c r="AO45" i="69"/>
  <c r="AN45" i="69"/>
  <c r="AM45" i="69"/>
  <c r="AL45" i="69"/>
  <c r="AK45" i="69"/>
  <c r="AI45" i="69"/>
  <c r="Q45" i="69"/>
  <c r="P45" i="69"/>
  <c r="M45" i="69"/>
  <c r="L45" i="69"/>
  <c r="K45" i="69"/>
  <c r="J45" i="69"/>
  <c r="I45" i="69"/>
  <c r="H45" i="69"/>
  <c r="D45" i="69"/>
  <c r="AT47" i="69"/>
  <c r="AR47" i="69"/>
  <c r="AQ47" i="69"/>
  <c r="AP47" i="69"/>
  <c r="AO47" i="69"/>
  <c r="AN47" i="69"/>
  <c r="AM47" i="69"/>
  <c r="AL47" i="69"/>
  <c r="AK47" i="69"/>
  <c r="AI47" i="69"/>
  <c r="Q47" i="69"/>
  <c r="P47" i="69"/>
  <c r="M47" i="69"/>
  <c r="L47" i="69"/>
  <c r="K47" i="69"/>
  <c r="J47" i="69"/>
  <c r="I47" i="69"/>
  <c r="H47" i="69"/>
  <c r="D47" i="69"/>
  <c r="AT46" i="69"/>
  <c r="AR46" i="69"/>
  <c r="AQ46" i="69"/>
  <c r="AP46" i="69"/>
  <c r="AO46" i="69"/>
  <c r="AN46" i="69"/>
  <c r="AM46" i="69"/>
  <c r="AL46" i="69"/>
  <c r="AK46" i="69"/>
  <c r="AI46" i="69"/>
  <c r="Q46" i="69"/>
  <c r="P46" i="69"/>
  <c r="M46" i="69"/>
  <c r="L46" i="69"/>
  <c r="K46" i="69"/>
  <c r="J46" i="69"/>
  <c r="I46" i="69"/>
  <c r="H46" i="69"/>
  <c r="D46" i="69"/>
  <c r="AT51" i="69"/>
  <c r="AR51" i="69"/>
  <c r="AQ51" i="69"/>
  <c r="AP51" i="69"/>
  <c r="AO51" i="69"/>
  <c r="AN51" i="69"/>
  <c r="AM51" i="69"/>
  <c r="AL51" i="69"/>
  <c r="AK51" i="69"/>
  <c r="AI51" i="69"/>
  <c r="Q51" i="69"/>
  <c r="P51" i="69"/>
  <c r="M51" i="69"/>
  <c r="L51" i="69"/>
  <c r="K51" i="69"/>
  <c r="J51" i="69"/>
  <c r="I51" i="69"/>
  <c r="H51" i="69"/>
  <c r="D51" i="69"/>
  <c r="AT36" i="69"/>
  <c r="AR36" i="69"/>
  <c r="AQ36" i="69"/>
  <c r="AP36" i="69"/>
  <c r="AO36" i="69"/>
  <c r="AN36" i="69"/>
  <c r="AM36" i="69"/>
  <c r="AL36" i="69"/>
  <c r="AK36" i="69"/>
  <c r="AI36" i="69"/>
  <c r="Q36" i="69"/>
  <c r="P36" i="69"/>
  <c r="M36" i="69"/>
  <c r="L36" i="69"/>
  <c r="K36" i="69"/>
  <c r="J36" i="69"/>
  <c r="I36" i="69"/>
  <c r="H36" i="69"/>
  <c r="D36" i="69"/>
  <c r="AT42" i="69"/>
  <c r="AR42" i="69"/>
  <c r="AQ42" i="69"/>
  <c r="AP42" i="69"/>
  <c r="AO42" i="69"/>
  <c r="AN42" i="69"/>
  <c r="AM42" i="69"/>
  <c r="AL42" i="69"/>
  <c r="AK42" i="69"/>
  <c r="AI42" i="69"/>
  <c r="Q42" i="69"/>
  <c r="P42" i="69"/>
  <c r="M42" i="69"/>
  <c r="L42" i="69"/>
  <c r="K42" i="69"/>
  <c r="J42" i="69"/>
  <c r="I42" i="69"/>
  <c r="H42" i="69"/>
  <c r="D42" i="69"/>
  <c r="AT41" i="69"/>
  <c r="AR41" i="69"/>
  <c r="AQ41" i="69"/>
  <c r="AP41" i="69"/>
  <c r="AO41" i="69"/>
  <c r="AN41" i="69"/>
  <c r="AM41" i="69"/>
  <c r="AL41" i="69"/>
  <c r="AK41" i="69"/>
  <c r="AI41" i="69"/>
  <c r="Q41" i="69"/>
  <c r="P41" i="69"/>
  <c r="O41" i="69"/>
  <c r="M41" i="69"/>
  <c r="L41" i="69"/>
  <c r="K41" i="69"/>
  <c r="J41" i="69"/>
  <c r="I41" i="69"/>
  <c r="H41" i="69"/>
  <c r="A41" i="69" s="1"/>
  <c r="D41" i="69"/>
  <c r="AT40" i="69"/>
  <c r="AR40" i="69"/>
  <c r="AQ40" i="69"/>
  <c r="AP40" i="69"/>
  <c r="AO40" i="69"/>
  <c r="AN40" i="69"/>
  <c r="AM40" i="69"/>
  <c r="AL40" i="69"/>
  <c r="AK40" i="69"/>
  <c r="AI40" i="69"/>
  <c r="Q40" i="69"/>
  <c r="P40" i="69"/>
  <c r="O40" i="69"/>
  <c r="M40" i="69"/>
  <c r="L40" i="69"/>
  <c r="K40" i="69"/>
  <c r="J40" i="69"/>
  <c r="I40" i="69"/>
  <c r="H40" i="69"/>
  <c r="A40" i="69" s="1"/>
  <c r="D40" i="69"/>
  <c r="AT35" i="69"/>
  <c r="AR35" i="69"/>
  <c r="AQ35" i="69"/>
  <c r="AP35" i="69"/>
  <c r="AO35" i="69"/>
  <c r="AN35" i="69"/>
  <c r="AM35" i="69"/>
  <c r="AL35" i="69"/>
  <c r="AK35" i="69"/>
  <c r="AI35" i="69"/>
  <c r="Q35" i="69"/>
  <c r="P35" i="69"/>
  <c r="M35" i="69"/>
  <c r="L35" i="69"/>
  <c r="K35" i="69"/>
  <c r="J35" i="69"/>
  <c r="I35" i="69"/>
  <c r="H35" i="69"/>
  <c r="D35" i="69"/>
  <c r="AT38" i="69"/>
  <c r="AR38" i="69"/>
  <c r="AQ38" i="69"/>
  <c r="AP38" i="69"/>
  <c r="AO38" i="69"/>
  <c r="AN38" i="69"/>
  <c r="AM38" i="69"/>
  <c r="AL38" i="69"/>
  <c r="AK38" i="69"/>
  <c r="AI38" i="69"/>
  <c r="Q38" i="69"/>
  <c r="P38" i="69"/>
  <c r="M38" i="69"/>
  <c r="L38" i="69"/>
  <c r="K38" i="69"/>
  <c r="J38" i="69"/>
  <c r="I38" i="69"/>
  <c r="H38" i="69"/>
  <c r="D38" i="69"/>
  <c r="AT37" i="69"/>
  <c r="AR37" i="69"/>
  <c r="AQ37" i="69"/>
  <c r="AP37" i="69"/>
  <c r="AO37" i="69"/>
  <c r="AN37" i="69"/>
  <c r="AM37" i="69"/>
  <c r="AL37" i="69"/>
  <c r="AK37" i="69"/>
  <c r="AI37" i="69"/>
  <c r="Q37" i="69"/>
  <c r="P37" i="69"/>
  <c r="M37" i="69"/>
  <c r="L37" i="69"/>
  <c r="K37" i="69"/>
  <c r="J37" i="69"/>
  <c r="I37" i="69"/>
  <c r="H37" i="69"/>
  <c r="D37" i="69"/>
  <c r="AT34" i="69"/>
  <c r="AR34" i="69"/>
  <c r="AQ34" i="69"/>
  <c r="AP34" i="69"/>
  <c r="AO34" i="69"/>
  <c r="AN34" i="69"/>
  <c r="AM34" i="69"/>
  <c r="AL34" i="69"/>
  <c r="AK34" i="69"/>
  <c r="AI34" i="69"/>
  <c r="Q34" i="69"/>
  <c r="P34" i="69"/>
  <c r="M34" i="69"/>
  <c r="L34" i="69"/>
  <c r="K34" i="69"/>
  <c r="J34" i="69"/>
  <c r="I34" i="69"/>
  <c r="H34" i="69"/>
  <c r="D34" i="69"/>
  <c r="AT33" i="69"/>
  <c r="AR33" i="69"/>
  <c r="AQ33" i="69"/>
  <c r="AP33" i="69"/>
  <c r="AO33" i="69"/>
  <c r="AN33" i="69"/>
  <c r="AM33" i="69"/>
  <c r="AL33" i="69"/>
  <c r="AK33" i="69"/>
  <c r="AI33" i="69"/>
  <c r="Q33" i="69"/>
  <c r="P33" i="69"/>
  <c r="M33" i="69"/>
  <c r="L33" i="69"/>
  <c r="K33" i="69"/>
  <c r="J33" i="69"/>
  <c r="I33" i="69"/>
  <c r="H33" i="69"/>
  <c r="D33" i="69"/>
  <c r="AT32" i="69"/>
  <c r="AR32" i="69"/>
  <c r="AQ32" i="69"/>
  <c r="AP32" i="69"/>
  <c r="AO32" i="69"/>
  <c r="AN32" i="69"/>
  <c r="AM32" i="69"/>
  <c r="AL32" i="69"/>
  <c r="AK32" i="69"/>
  <c r="AI32" i="69"/>
  <c r="Q32" i="69"/>
  <c r="P32" i="69"/>
  <c r="M32" i="69"/>
  <c r="L32" i="69"/>
  <c r="K32" i="69"/>
  <c r="J32" i="69"/>
  <c r="I32" i="69"/>
  <c r="H32" i="69"/>
  <c r="D32" i="69"/>
  <c r="AT31" i="69"/>
  <c r="AR31" i="69"/>
  <c r="AQ31" i="69"/>
  <c r="AP31" i="69"/>
  <c r="AO31" i="69"/>
  <c r="AN31" i="69"/>
  <c r="AM31" i="69"/>
  <c r="AL31" i="69"/>
  <c r="AK31" i="69"/>
  <c r="AI31" i="69"/>
  <c r="Q31" i="69"/>
  <c r="P31" i="69"/>
  <c r="M31" i="69"/>
  <c r="L31" i="69"/>
  <c r="K31" i="69"/>
  <c r="J31" i="69"/>
  <c r="I31" i="69"/>
  <c r="H31" i="69"/>
  <c r="D31" i="69"/>
  <c r="AT39" i="69"/>
  <c r="AR39" i="69"/>
  <c r="AQ39" i="69"/>
  <c r="AP39" i="69"/>
  <c r="AO39" i="69"/>
  <c r="AN39" i="69"/>
  <c r="AM39" i="69"/>
  <c r="AL39" i="69"/>
  <c r="AK39" i="69"/>
  <c r="AI39" i="69"/>
  <c r="Q39" i="69"/>
  <c r="P39" i="69"/>
  <c r="M39" i="69"/>
  <c r="L39" i="69"/>
  <c r="K39" i="69"/>
  <c r="J39" i="69"/>
  <c r="I39" i="69"/>
  <c r="H39" i="69"/>
  <c r="D39" i="69"/>
  <c r="AT30" i="69"/>
  <c r="AR30" i="69"/>
  <c r="AQ30" i="69"/>
  <c r="AP30" i="69"/>
  <c r="AO30" i="69"/>
  <c r="AN30" i="69"/>
  <c r="AM30" i="69"/>
  <c r="AL30" i="69"/>
  <c r="AK30" i="69"/>
  <c r="AI30" i="69"/>
  <c r="Q30" i="69"/>
  <c r="P30" i="69"/>
  <c r="O30" i="69"/>
  <c r="M30" i="69"/>
  <c r="L30" i="69"/>
  <c r="K30" i="69"/>
  <c r="J30" i="69"/>
  <c r="I30" i="69"/>
  <c r="H30" i="69"/>
  <c r="A30" i="69" s="1"/>
  <c r="D30" i="69"/>
  <c r="AT22" i="69"/>
  <c r="AR22" i="69"/>
  <c r="AQ22" i="69"/>
  <c r="AP22" i="69"/>
  <c r="AO22" i="69"/>
  <c r="AN22" i="69"/>
  <c r="AM22" i="69"/>
  <c r="AL22" i="69"/>
  <c r="AK22" i="69"/>
  <c r="AI22" i="69"/>
  <c r="Q22" i="69"/>
  <c r="P22" i="69"/>
  <c r="M22" i="69"/>
  <c r="L22" i="69"/>
  <c r="K22" i="69"/>
  <c r="J22" i="69"/>
  <c r="I22" i="69"/>
  <c r="H22" i="69"/>
  <c r="D22" i="69"/>
  <c r="AT27" i="69"/>
  <c r="AR27" i="69"/>
  <c r="AQ27" i="69"/>
  <c r="AP27" i="69"/>
  <c r="AO27" i="69"/>
  <c r="AN27" i="69"/>
  <c r="AM27" i="69"/>
  <c r="AL27" i="69"/>
  <c r="AK27" i="69"/>
  <c r="AI27" i="69"/>
  <c r="Q27" i="69"/>
  <c r="P27" i="69"/>
  <c r="M27" i="69"/>
  <c r="L27" i="69"/>
  <c r="K27" i="69"/>
  <c r="J27" i="69"/>
  <c r="I27" i="69"/>
  <c r="H27" i="69"/>
  <c r="D27" i="69"/>
  <c r="AT23" i="69"/>
  <c r="AR23" i="69"/>
  <c r="AQ23" i="69"/>
  <c r="AP23" i="69"/>
  <c r="AO23" i="69"/>
  <c r="AN23" i="69"/>
  <c r="AM23" i="69"/>
  <c r="AL23" i="69"/>
  <c r="AK23" i="69"/>
  <c r="AI23" i="69"/>
  <c r="Q23" i="69"/>
  <c r="P23" i="69"/>
  <c r="M23" i="69"/>
  <c r="L23" i="69"/>
  <c r="K23" i="69"/>
  <c r="J23" i="69"/>
  <c r="I23" i="69"/>
  <c r="H23" i="69"/>
  <c r="D23" i="69"/>
  <c r="AT29" i="69"/>
  <c r="AR29" i="69"/>
  <c r="AQ29" i="69"/>
  <c r="AP29" i="69"/>
  <c r="AO29" i="69"/>
  <c r="AN29" i="69"/>
  <c r="AM29" i="69"/>
  <c r="AL29" i="69"/>
  <c r="AK29" i="69"/>
  <c r="AI29" i="69"/>
  <c r="Q29" i="69"/>
  <c r="P29" i="69"/>
  <c r="O29" i="69"/>
  <c r="M29" i="69"/>
  <c r="L29" i="69"/>
  <c r="K29" i="69"/>
  <c r="J29" i="69"/>
  <c r="I29" i="69"/>
  <c r="H29" i="69"/>
  <c r="A29" i="69" s="1"/>
  <c r="D29" i="69"/>
  <c r="AT25" i="69"/>
  <c r="AR25" i="69"/>
  <c r="AQ25" i="69"/>
  <c r="AP25" i="69"/>
  <c r="AO25" i="69"/>
  <c r="AN25" i="69"/>
  <c r="AM25" i="69"/>
  <c r="AL25" i="69"/>
  <c r="AK25" i="69"/>
  <c r="AI25" i="69"/>
  <c r="Q25" i="69"/>
  <c r="P25" i="69"/>
  <c r="M25" i="69"/>
  <c r="L25" i="69"/>
  <c r="K25" i="69"/>
  <c r="J25" i="69"/>
  <c r="I25" i="69"/>
  <c r="H25" i="69"/>
  <c r="D25" i="69"/>
  <c r="AT28" i="69"/>
  <c r="AR28" i="69"/>
  <c r="AQ28" i="69"/>
  <c r="AP28" i="69"/>
  <c r="AO28" i="69"/>
  <c r="AN28" i="69"/>
  <c r="AM28" i="69"/>
  <c r="AL28" i="69"/>
  <c r="AK28" i="69"/>
  <c r="AI28" i="69"/>
  <c r="Q28" i="69"/>
  <c r="P28" i="69"/>
  <c r="M28" i="69"/>
  <c r="L28" i="69"/>
  <c r="K28" i="69"/>
  <c r="J28" i="69"/>
  <c r="I28" i="69"/>
  <c r="H28" i="69"/>
  <c r="D28" i="69"/>
  <c r="AT20" i="69"/>
  <c r="AR20" i="69"/>
  <c r="AQ20" i="69"/>
  <c r="AP20" i="69"/>
  <c r="AO20" i="69"/>
  <c r="AN20" i="69"/>
  <c r="AM20" i="69"/>
  <c r="AL20" i="69"/>
  <c r="AK20" i="69"/>
  <c r="AI20" i="69"/>
  <c r="Q20" i="69"/>
  <c r="P20" i="69"/>
  <c r="M20" i="69"/>
  <c r="L20" i="69"/>
  <c r="K20" i="69"/>
  <c r="J20" i="69"/>
  <c r="I20" i="69"/>
  <c r="H20" i="69"/>
  <c r="AT21" i="69"/>
  <c r="AR21" i="69"/>
  <c r="AQ21" i="69"/>
  <c r="AP21" i="69"/>
  <c r="AO21" i="69"/>
  <c r="AN21" i="69"/>
  <c r="AM21" i="69"/>
  <c r="AL21" i="69"/>
  <c r="AK21" i="69"/>
  <c r="AI21" i="69"/>
  <c r="Q21" i="69"/>
  <c r="P21" i="69"/>
  <c r="M21" i="69"/>
  <c r="L21" i="69"/>
  <c r="K21" i="69"/>
  <c r="J21" i="69"/>
  <c r="I21" i="69"/>
  <c r="H21" i="69"/>
  <c r="D21" i="69"/>
  <c r="AT24" i="69"/>
  <c r="AR24" i="69"/>
  <c r="AQ24" i="69"/>
  <c r="AP24" i="69"/>
  <c r="AO24" i="69"/>
  <c r="AN24" i="69"/>
  <c r="AM24" i="69"/>
  <c r="AL24" i="69"/>
  <c r="AK24" i="69"/>
  <c r="AI24" i="69"/>
  <c r="Q24" i="69"/>
  <c r="P24" i="69"/>
  <c r="M24" i="69"/>
  <c r="L24" i="69"/>
  <c r="K24" i="69"/>
  <c r="J24" i="69"/>
  <c r="I24" i="69"/>
  <c r="H24" i="69"/>
  <c r="D24" i="69"/>
  <c r="AT19" i="69"/>
  <c r="AR19" i="69"/>
  <c r="AQ19" i="69"/>
  <c r="AP19" i="69"/>
  <c r="AO19" i="69"/>
  <c r="AN19" i="69"/>
  <c r="AM19" i="69"/>
  <c r="AL19" i="69"/>
  <c r="AK19" i="69"/>
  <c r="AI19" i="69"/>
  <c r="Q19" i="69"/>
  <c r="P19" i="69"/>
  <c r="M19" i="69"/>
  <c r="L19" i="69"/>
  <c r="K19" i="69"/>
  <c r="J19" i="69"/>
  <c r="I19" i="69"/>
  <c r="H19" i="69"/>
  <c r="D19" i="69"/>
  <c r="AT18" i="69"/>
  <c r="AR18" i="69"/>
  <c r="AQ18" i="69"/>
  <c r="AP18" i="69"/>
  <c r="AO18" i="69"/>
  <c r="AN18" i="69"/>
  <c r="AM18" i="69"/>
  <c r="AL18" i="69"/>
  <c r="AK18" i="69"/>
  <c r="AI18" i="69"/>
  <c r="Q18" i="69"/>
  <c r="P18" i="69"/>
  <c r="M18" i="69"/>
  <c r="L18" i="69"/>
  <c r="K18" i="69"/>
  <c r="J18" i="69"/>
  <c r="I18" i="69"/>
  <c r="H18" i="69"/>
  <c r="D18" i="69"/>
  <c r="AT17" i="69"/>
  <c r="AR17" i="69"/>
  <c r="AQ17" i="69"/>
  <c r="AP17" i="69"/>
  <c r="AO17" i="69"/>
  <c r="AN17" i="69"/>
  <c r="AM17" i="69"/>
  <c r="AL17" i="69"/>
  <c r="AK17" i="69"/>
  <c r="AI17" i="69"/>
  <c r="Q17" i="69"/>
  <c r="P17" i="69"/>
  <c r="M17" i="69"/>
  <c r="L17" i="69"/>
  <c r="K17" i="69"/>
  <c r="J17" i="69"/>
  <c r="I17" i="69"/>
  <c r="H17" i="69"/>
  <c r="D17" i="69"/>
  <c r="AT26" i="69"/>
  <c r="AR26" i="69"/>
  <c r="AQ26" i="69"/>
  <c r="AP26" i="69"/>
  <c r="AO26" i="69"/>
  <c r="AN26" i="69"/>
  <c r="AM26" i="69"/>
  <c r="AL26" i="69"/>
  <c r="AK26" i="69"/>
  <c r="AI26" i="69"/>
  <c r="Q26" i="69"/>
  <c r="P26" i="69"/>
  <c r="M26" i="69"/>
  <c r="L26" i="69"/>
  <c r="K26" i="69"/>
  <c r="J26" i="69"/>
  <c r="I26" i="69"/>
  <c r="H26" i="69"/>
  <c r="D26" i="69"/>
  <c r="AT16" i="69"/>
  <c r="AR16" i="69"/>
  <c r="AQ16" i="69"/>
  <c r="AP16" i="69"/>
  <c r="AO16" i="69"/>
  <c r="AN16" i="69"/>
  <c r="AM16" i="69"/>
  <c r="AL16" i="69"/>
  <c r="AK16" i="69"/>
  <c r="AI16" i="69"/>
  <c r="Q16" i="69"/>
  <c r="P16" i="69"/>
  <c r="M16" i="69"/>
  <c r="L16" i="69"/>
  <c r="K16" i="69"/>
  <c r="J16" i="69"/>
  <c r="I16" i="69"/>
  <c r="H16" i="69"/>
  <c r="D16" i="69"/>
  <c r="AT6" i="69"/>
  <c r="AR6" i="69"/>
  <c r="AQ6" i="69"/>
  <c r="AP6" i="69"/>
  <c r="AO6" i="69"/>
  <c r="AN6" i="69"/>
  <c r="AM6" i="69"/>
  <c r="AL6" i="69"/>
  <c r="AK6" i="69"/>
  <c r="AH6" i="69"/>
  <c r="AI6" i="69" s="1"/>
  <c r="Q6" i="69"/>
  <c r="O6" i="69"/>
  <c r="M6" i="69"/>
  <c r="L6" i="69"/>
  <c r="K6" i="69"/>
  <c r="J6" i="69"/>
  <c r="I6" i="69"/>
  <c r="AT5" i="69"/>
  <c r="AR5" i="69"/>
  <c r="AQ5" i="69"/>
  <c r="AP5" i="69"/>
  <c r="AO5" i="69"/>
  <c r="AN5" i="69"/>
  <c r="AM5" i="69"/>
  <c r="AL5" i="69"/>
  <c r="AK5" i="69"/>
  <c r="AH5" i="69"/>
  <c r="AI5" i="69" s="1"/>
  <c r="Q5" i="69"/>
  <c r="O5" i="69"/>
  <c r="M5" i="69"/>
  <c r="L5" i="69"/>
  <c r="K5" i="69"/>
  <c r="J5" i="69"/>
  <c r="I5" i="69"/>
  <c r="AT4" i="69"/>
  <c r="AR4" i="69"/>
  <c r="AQ4" i="69"/>
  <c r="AP4" i="69"/>
  <c r="AO4" i="69"/>
  <c r="AN4" i="69"/>
  <c r="AM4" i="69"/>
  <c r="AL4" i="69"/>
  <c r="AK4" i="69"/>
  <c r="AH4" i="69"/>
  <c r="AI4" i="69" s="1"/>
  <c r="Q4" i="69"/>
  <c r="O4" i="69"/>
  <c r="M4" i="69"/>
  <c r="L4" i="69"/>
  <c r="K4" i="69"/>
  <c r="J4" i="69"/>
  <c r="I4" i="69"/>
  <c r="AT3" i="69"/>
  <c r="AR3" i="69"/>
  <c r="AQ3" i="69"/>
  <c r="AP3" i="69"/>
  <c r="AO3" i="69"/>
  <c r="AN3" i="69"/>
  <c r="AM3" i="69"/>
  <c r="AL3" i="69"/>
  <c r="AK3" i="69"/>
  <c r="AH3" i="69"/>
  <c r="Q3" i="69"/>
  <c r="M3" i="69"/>
  <c r="L3" i="69"/>
  <c r="K3" i="69"/>
  <c r="J3" i="69"/>
  <c r="I3" i="69"/>
  <c r="AR2" i="69"/>
  <c r="AQ2" i="69"/>
  <c r="AP2" i="69"/>
  <c r="AO2" i="69"/>
  <c r="AN2" i="69"/>
  <c r="AM2" i="69"/>
  <c r="AL2" i="69"/>
  <c r="AK2" i="69"/>
  <c r="O2" i="69"/>
  <c r="M2" i="69"/>
  <c r="L2" i="69"/>
  <c r="K2" i="69"/>
  <c r="J2" i="69"/>
  <c r="I2" i="69"/>
  <c r="F2" i="69"/>
  <c r="E2" i="69"/>
  <c r="Q2" i="69" s="1"/>
  <c r="D2" i="69"/>
  <c r="O3" i="69" s="1"/>
  <c r="AT53" i="68"/>
  <c r="AR53" i="68"/>
  <c r="AQ53" i="68"/>
  <c r="AP53" i="68"/>
  <c r="AO53" i="68"/>
  <c r="AN53" i="68"/>
  <c r="AM53" i="68"/>
  <c r="AL53" i="68"/>
  <c r="AK53" i="68"/>
  <c r="AI53" i="68"/>
  <c r="Q53" i="68"/>
  <c r="P53" i="68"/>
  <c r="M53" i="68"/>
  <c r="L53" i="68"/>
  <c r="K53" i="68"/>
  <c r="J53" i="68"/>
  <c r="I53" i="68"/>
  <c r="H53" i="68"/>
  <c r="D53" i="68"/>
  <c r="AT30" i="68"/>
  <c r="AR30" i="68"/>
  <c r="AQ30" i="68"/>
  <c r="AP30" i="68"/>
  <c r="AO30" i="68"/>
  <c r="AN30" i="68"/>
  <c r="AM30" i="68"/>
  <c r="AL30" i="68"/>
  <c r="AK30" i="68"/>
  <c r="AI30" i="68"/>
  <c r="Q30" i="68"/>
  <c r="P30" i="68"/>
  <c r="M30" i="68"/>
  <c r="L30" i="68"/>
  <c r="K30" i="68"/>
  <c r="J30" i="68"/>
  <c r="I30" i="68"/>
  <c r="H30" i="68"/>
  <c r="D30" i="68"/>
  <c r="AT48" i="68"/>
  <c r="AR48" i="68"/>
  <c r="AQ48" i="68"/>
  <c r="AP48" i="68"/>
  <c r="AO48" i="68"/>
  <c r="AN48" i="68"/>
  <c r="AM48" i="68"/>
  <c r="AL48" i="68"/>
  <c r="AK48" i="68"/>
  <c r="AI48" i="68"/>
  <c r="Q48" i="68"/>
  <c r="P48" i="68"/>
  <c r="M48" i="68"/>
  <c r="L48" i="68"/>
  <c r="K48" i="68"/>
  <c r="J48" i="68"/>
  <c r="I48" i="68"/>
  <c r="H48" i="68"/>
  <c r="D48" i="68"/>
  <c r="AT34" i="68"/>
  <c r="AR34" i="68"/>
  <c r="AQ34" i="68"/>
  <c r="AP34" i="68"/>
  <c r="AO34" i="68"/>
  <c r="AN34" i="68"/>
  <c r="AM34" i="68"/>
  <c r="AL34" i="68"/>
  <c r="AK34" i="68"/>
  <c r="AI34" i="68"/>
  <c r="Q34" i="68"/>
  <c r="P34" i="68"/>
  <c r="M34" i="68"/>
  <c r="L34" i="68"/>
  <c r="K34" i="68"/>
  <c r="J34" i="68"/>
  <c r="I34" i="68"/>
  <c r="H34" i="68"/>
  <c r="D34" i="68"/>
  <c r="AT63" i="68"/>
  <c r="AR63" i="68"/>
  <c r="AQ63" i="68"/>
  <c r="AP63" i="68"/>
  <c r="AO63" i="68"/>
  <c r="AN63" i="68"/>
  <c r="AM63" i="68"/>
  <c r="AL63" i="68"/>
  <c r="AK63" i="68"/>
  <c r="AI63" i="68"/>
  <c r="Q63" i="68"/>
  <c r="P63" i="68"/>
  <c r="M63" i="68"/>
  <c r="L63" i="68"/>
  <c r="K63" i="68"/>
  <c r="J63" i="68"/>
  <c r="I63" i="68"/>
  <c r="H63" i="68"/>
  <c r="D63" i="68"/>
  <c r="AT18" i="68"/>
  <c r="AR18" i="68"/>
  <c r="AQ18" i="68"/>
  <c r="AP18" i="68"/>
  <c r="AO18" i="68"/>
  <c r="AN18" i="68"/>
  <c r="AM18" i="68"/>
  <c r="AL18" i="68"/>
  <c r="AK18" i="68"/>
  <c r="AI18" i="68"/>
  <c r="Q18" i="68"/>
  <c r="P18" i="68"/>
  <c r="M18" i="68"/>
  <c r="L18" i="68"/>
  <c r="K18" i="68"/>
  <c r="J18" i="68"/>
  <c r="I18" i="68"/>
  <c r="H18" i="68"/>
  <c r="D18" i="68"/>
  <c r="AT20" i="68"/>
  <c r="AR20" i="68"/>
  <c r="AQ20" i="68"/>
  <c r="AP20" i="68"/>
  <c r="AO20" i="68"/>
  <c r="AN20" i="68"/>
  <c r="AM20" i="68"/>
  <c r="AL20" i="68"/>
  <c r="AK20" i="68"/>
  <c r="AI20" i="68"/>
  <c r="Q20" i="68"/>
  <c r="P20" i="68"/>
  <c r="M20" i="68"/>
  <c r="L20" i="68"/>
  <c r="K20" i="68"/>
  <c r="J20" i="68"/>
  <c r="I20" i="68"/>
  <c r="H20" i="68"/>
  <c r="D20" i="68"/>
  <c r="AT28" i="68"/>
  <c r="AR28" i="68"/>
  <c r="AQ28" i="68"/>
  <c r="AP28" i="68"/>
  <c r="AO28" i="68"/>
  <c r="AN28" i="68"/>
  <c r="AM28" i="68"/>
  <c r="AL28" i="68"/>
  <c r="AK28" i="68"/>
  <c r="AI28" i="68"/>
  <c r="Q28" i="68"/>
  <c r="P28" i="68"/>
  <c r="M28" i="68"/>
  <c r="L28" i="68"/>
  <c r="K28" i="68"/>
  <c r="J28" i="68"/>
  <c r="I28" i="68"/>
  <c r="H28" i="68"/>
  <c r="D28" i="68"/>
  <c r="AT40" i="68"/>
  <c r="AR40" i="68"/>
  <c r="AQ40" i="68"/>
  <c r="AP40" i="68"/>
  <c r="AO40" i="68"/>
  <c r="AN40" i="68"/>
  <c r="AM40" i="68"/>
  <c r="AL40" i="68"/>
  <c r="AK40" i="68"/>
  <c r="AI40" i="68"/>
  <c r="Q40" i="68"/>
  <c r="P40" i="68"/>
  <c r="M40" i="68"/>
  <c r="L40" i="68"/>
  <c r="K40" i="68"/>
  <c r="J40" i="68"/>
  <c r="I40" i="68"/>
  <c r="H40" i="68"/>
  <c r="D40" i="68"/>
  <c r="AT62" i="68"/>
  <c r="AR62" i="68"/>
  <c r="AQ62" i="68"/>
  <c r="AP62" i="68"/>
  <c r="AO62" i="68"/>
  <c r="AN62" i="68"/>
  <c r="AM62" i="68"/>
  <c r="AL62" i="68"/>
  <c r="AK62" i="68"/>
  <c r="AI62" i="68"/>
  <c r="Q62" i="68"/>
  <c r="P62" i="68"/>
  <c r="M62" i="68"/>
  <c r="L62" i="68"/>
  <c r="K62" i="68"/>
  <c r="J62" i="68"/>
  <c r="I62" i="68"/>
  <c r="H62" i="68"/>
  <c r="D62" i="68"/>
  <c r="AT16" i="68"/>
  <c r="AR16" i="68"/>
  <c r="AQ16" i="68"/>
  <c r="AP16" i="68"/>
  <c r="AO16" i="68"/>
  <c r="AN16" i="68"/>
  <c r="AM16" i="68"/>
  <c r="AL16" i="68"/>
  <c r="AK16" i="68"/>
  <c r="AI16" i="68"/>
  <c r="Q16" i="68"/>
  <c r="P16" i="68"/>
  <c r="M16" i="68"/>
  <c r="L16" i="68"/>
  <c r="K16" i="68"/>
  <c r="J16" i="68"/>
  <c r="I16" i="68"/>
  <c r="H16" i="68"/>
  <c r="D16" i="68"/>
  <c r="AT38" i="68"/>
  <c r="AR38" i="68"/>
  <c r="AQ38" i="68"/>
  <c r="AP38" i="68"/>
  <c r="AO38" i="68"/>
  <c r="AN38" i="68"/>
  <c r="AM38" i="68"/>
  <c r="AL38" i="68"/>
  <c r="AK38" i="68"/>
  <c r="AI38" i="68"/>
  <c r="Q38" i="68"/>
  <c r="P38" i="68"/>
  <c r="M38" i="68"/>
  <c r="L38" i="68"/>
  <c r="K38" i="68"/>
  <c r="J38" i="68"/>
  <c r="I38" i="68"/>
  <c r="H38" i="68"/>
  <c r="D38" i="68"/>
  <c r="AT39" i="68"/>
  <c r="AR39" i="68"/>
  <c r="AQ39" i="68"/>
  <c r="AP39" i="68"/>
  <c r="AO39" i="68"/>
  <c r="AN39" i="68"/>
  <c r="AM39" i="68"/>
  <c r="AL39" i="68"/>
  <c r="AK39" i="68"/>
  <c r="AI39" i="68"/>
  <c r="Q39" i="68"/>
  <c r="P39" i="68"/>
  <c r="M39" i="68"/>
  <c r="L39" i="68"/>
  <c r="K39" i="68"/>
  <c r="J39" i="68"/>
  <c r="I39" i="68"/>
  <c r="H39" i="68"/>
  <c r="D39" i="68"/>
  <c r="AT26" i="68"/>
  <c r="AR26" i="68"/>
  <c r="AQ26" i="68"/>
  <c r="AP26" i="68"/>
  <c r="AO26" i="68"/>
  <c r="AN26" i="68"/>
  <c r="AM26" i="68"/>
  <c r="AL26" i="68"/>
  <c r="AK26" i="68"/>
  <c r="AI26" i="68"/>
  <c r="Q26" i="68"/>
  <c r="P26" i="68"/>
  <c r="M26" i="68"/>
  <c r="L26" i="68"/>
  <c r="K26" i="68"/>
  <c r="J26" i="68"/>
  <c r="I26" i="68"/>
  <c r="H26" i="68"/>
  <c r="D26" i="68"/>
  <c r="AT23" i="68"/>
  <c r="AR23" i="68"/>
  <c r="AQ23" i="68"/>
  <c r="AP23" i="68"/>
  <c r="AO23" i="68"/>
  <c r="AN23" i="68"/>
  <c r="AM23" i="68"/>
  <c r="AL23" i="68"/>
  <c r="AK23" i="68"/>
  <c r="AI23" i="68"/>
  <c r="Q23" i="68"/>
  <c r="P23" i="68"/>
  <c r="M23" i="68"/>
  <c r="L23" i="68"/>
  <c r="K23" i="68"/>
  <c r="J23" i="68"/>
  <c r="I23" i="68"/>
  <c r="H23" i="68"/>
  <c r="D23" i="68"/>
  <c r="AT32" i="68"/>
  <c r="AR32" i="68"/>
  <c r="AQ32" i="68"/>
  <c r="AP32" i="68"/>
  <c r="AO32" i="68"/>
  <c r="AN32" i="68"/>
  <c r="AM32" i="68"/>
  <c r="AL32" i="68"/>
  <c r="AK32" i="68"/>
  <c r="AI32" i="68"/>
  <c r="Q32" i="68"/>
  <c r="P32" i="68"/>
  <c r="M32" i="68"/>
  <c r="L32" i="68"/>
  <c r="K32" i="68"/>
  <c r="J32" i="68"/>
  <c r="I32" i="68"/>
  <c r="H32" i="68"/>
  <c r="D32" i="68"/>
  <c r="AT43" i="68"/>
  <c r="AR43" i="68"/>
  <c r="AQ43" i="68"/>
  <c r="AP43" i="68"/>
  <c r="AO43" i="68"/>
  <c r="AN43" i="68"/>
  <c r="AM43" i="68"/>
  <c r="AL43" i="68"/>
  <c r="AK43" i="68"/>
  <c r="AI43" i="68"/>
  <c r="Q43" i="68"/>
  <c r="P43" i="68"/>
  <c r="M43" i="68"/>
  <c r="L43" i="68"/>
  <c r="K43" i="68"/>
  <c r="J43" i="68"/>
  <c r="I43" i="68"/>
  <c r="H43" i="68"/>
  <c r="D43" i="68"/>
  <c r="AT24" i="68"/>
  <c r="AR24" i="68"/>
  <c r="AQ24" i="68"/>
  <c r="AP24" i="68"/>
  <c r="AO24" i="68"/>
  <c r="AN24" i="68"/>
  <c r="AM24" i="68"/>
  <c r="AL24" i="68"/>
  <c r="AK24" i="68"/>
  <c r="AI24" i="68"/>
  <c r="Q24" i="68"/>
  <c r="P24" i="68"/>
  <c r="M24" i="68"/>
  <c r="L24" i="68"/>
  <c r="K24" i="68"/>
  <c r="J24" i="68"/>
  <c r="I24" i="68"/>
  <c r="H24" i="68"/>
  <c r="D24" i="68"/>
  <c r="AT22" i="68"/>
  <c r="AR22" i="68"/>
  <c r="AQ22" i="68"/>
  <c r="AP22" i="68"/>
  <c r="AO22" i="68"/>
  <c r="AN22" i="68"/>
  <c r="AM22" i="68"/>
  <c r="AL22" i="68"/>
  <c r="AK22" i="68"/>
  <c r="AI22" i="68"/>
  <c r="Q22" i="68"/>
  <c r="P22" i="68"/>
  <c r="M22" i="68"/>
  <c r="L22" i="68"/>
  <c r="K22" i="68"/>
  <c r="J22" i="68"/>
  <c r="I22" i="68"/>
  <c r="H22" i="68"/>
  <c r="D22" i="68"/>
  <c r="AT31" i="68"/>
  <c r="AR31" i="68"/>
  <c r="AQ31" i="68"/>
  <c r="AP31" i="68"/>
  <c r="AO31" i="68"/>
  <c r="AN31" i="68"/>
  <c r="AM31" i="68"/>
  <c r="AL31" i="68"/>
  <c r="AK31" i="68"/>
  <c r="AI31" i="68"/>
  <c r="Q31" i="68"/>
  <c r="P31" i="68"/>
  <c r="M31" i="68"/>
  <c r="L31" i="68"/>
  <c r="K31" i="68"/>
  <c r="J31" i="68"/>
  <c r="I31" i="68"/>
  <c r="H31" i="68"/>
  <c r="D31" i="68"/>
  <c r="AT46" i="68"/>
  <c r="AR46" i="68"/>
  <c r="AQ46" i="68"/>
  <c r="AP46" i="68"/>
  <c r="AO46" i="68"/>
  <c r="AN46" i="68"/>
  <c r="AM46" i="68"/>
  <c r="AL46" i="68"/>
  <c r="AK46" i="68"/>
  <c r="AI46" i="68"/>
  <c r="Q46" i="68"/>
  <c r="P46" i="68"/>
  <c r="M46" i="68"/>
  <c r="L46" i="68"/>
  <c r="K46" i="68"/>
  <c r="J46" i="68"/>
  <c r="I46" i="68"/>
  <c r="H46" i="68"/>
  <c r="D46" i="68"/>
  <c r="AT42" i="68"/>
  <c r="AR42" i="68"/>
  <c r="AQ42" i="68"/>
  <c r="AP42" i="68"/>
  <c r="AO42" i="68"/>
  <c r="AN42" i="68"/>
  <c r="AM42" i="68"/>
  <c r="AL42" i="68"/>
  <c r="AK42" i="68"/>
  <c r="AI42" i="68"/>
  <c r="Q42" i="68"/>
  <c r="P42" i="68"/>
  <c r="M42" i="68"/>
  <c r="L42" i="68"/>
  <c r="K42" i="68"/>
  <c r="J42" i="68"/>
  <c r="I42" i="68"/>
  <c r="H42" i="68"/>
  <c r="D42" i="68"/>
  <c r="AT35" i="68"/>
  <c r="AR35" i="68"/>
  <c r="AQ35" i="68"/>
  <c r="AP35" i="68"/>
  <c r="AO35" i="68"/>
  <c r="AN35" i="68"/>
  <c r="AM35" i="68"/>
  <c r="AL35" i="68"/>
  <c r="AK35" i="68"/>
  <c r="AI35" i="68"/>
  <c r="Q35" i="68"/>
  <c r="P35" i="68"/>
  <c r="M35" i="68"/>
  <c r="L35" i="68"/>
  <c r="K35" i="68"/>
  <c r="J35" i="68"/>
  <c r="I35" i="68"/>
  <c r="H35" i="68"/>
  <c r="D35" i="68"/>
  <c r="AT17" i="68"/>
  <c r="AR17" i="68"/>
  <c r="AQ17" i="68"/>
  <c r="AP17" i="68"/>
  <c r="AO17" i="68"/>
  <c r="AN17" i="68"/>
  <c r="AM17" i="68"/>
  <c r="AL17" i="68"/>
  <c r="AK17" i="68"/>
  <c r="AI17" i="68"/>
  <c r="Q17" i="68"/>
  <c r="P17" i="68"/>
  <c r="M17" i="68"/>
  <c r="L17" i="68"/>
  <c r="K17" i="68"/>
  <c r="J17" i="68"/>
  <c r="I17" i="68"/>
  <c r="H17" i="68"/>
  <c r="D17" i="68"/>
  <c r="AT21" i="68"/>
  <c r="AR21" i="68"/>
  <c r="AQ21" i="68"/>
  <c r="AP21" i="68"/>
  <c r="AO21" i="68"/>
  <c r="AN21" i="68"/>
  <c r="AM21" i="68"/>
  <c r="AL21" i="68"/>
  <c r="AK21" i="68"/>
  <c r="AI21" i="68"/>
  <c r="Q21" i="68"/>
  <c r="P21" i="68"/>
  <c r="M21" i="68"/>
  <c r="L21" i="68"/>
  <c r="K21" i="68"/>
  <c r="J21" i="68"/>
  <c r="I21" i="68"/>
  <c r="H21" i="68"/>
  <c r="D21" i="68"/>
  <c r="AT58" i="68"/>
  <c r="AR58" i="68"/>
  <c r="AQ58" i="68"/>
  <c r="AP58" i="68"/>
  <c r="AO58" i="68"/>
  <c r="AN58" i="68"/>
  <c r="AM58" i="68"/>
  <c r="AL58" i="68"/>
  <c r="AK58" i="68"/>
  <c r="AI58" i="68"/>
  <c r="Q58" i="68"/>
  <c r="P58" i="68"/>
  <c r="M58" i="68"/>
  <c r="L58" i="68"/>
  <c r="K58" i="68"/>
  <c r="J58" i="68"/>
  <c r="I58" i="68"/>
  <c r="H58" i="68"/>
  <c r="D58" i="68"/>
  <c r="AT54" i="68"/>
  <c r="AR54" i="68"/>
  <c r="AQ54" i="68"/>
  <c r="AP54" i="68"/>
  <c r="AO54" i="68"/>
  <c r="AN54" i="68"/>
  <c r="AM54" i="68"/>
  <c r="AL54" i="68"/>
  <c r="AK54" i="68"/>
  <c r="AI54" i="68"/>
  <c r="Q54" i="68"/>
  <c r="P54" i="68"/>
  <c r="M54" i="68"/>
  <c r="L54" i="68"/>
  <c r="K54" i="68"/>
  <c r="J54" i="68"/>
  <c r="I54" i="68"/>
  <c r="H54" i="68"/>
  <c r="D54" i="68"/>
  <c r="AT37" i="68"/>
  <c r="AR37" i="68"/>
  <c r="AQ37" i="68"/>
  <c r="AP37" i="68"/>
  <c r="AO37" i="68"/>
  <c r="AN37" i="68"/>
  <c r="AM37" i="68"/>
  <c r="AL37" i="68"/>
  <c r="AK37" i="68"/>
  <c r="AI37" i="68"/>
  <c r="Q37" i="68"/>
  <c r="P37" i="68"/>
  <c r="M37" i="68"/>
  <c r="L37" i="68"/>
  <c r="K37" i="68"/>
  <c r="J37" i="68"/>
  <c r="I37" i="68"/>
  <c r="H37" i="68"/>
  <c r="D37" i="68"/>
  <c r="AT33" i="68"/>
  <c r="AR33" i="68"/>
  <c r="AQ33" i="68"/>
  <c r="AP33" i="68"/>
  <c r="AO33" i="68"/>
  <c r="AN33" i="68"/>
  <c r="AM33" i="68"/>
  <c r="AL33" i="68"/>
  <c r="AK33" i="68"/>
  <c r="AI33" i="68"/>
  <c r="Q33" i="68"/>
  <c r="P33" i="68"/>
  <c r="M33" i="68"/>
  <c r="L33" i="68"/>
  <c r="K33" i="68"/>
  <c r="J33" i="68"/>
  <c r="I33" i="68"/>
  <c r="H33" i="68"/>
  <c r="D33" i="68"/>
  <c r="AT56" i="68"/>
  <c r="AR56" i="68"/>
  <c r="AQ56" i="68"/>
  <c r="AP56" i="68"/>
  <c r="AO56" i="68"/>
  <c r="AN56" i="68"/>
  <c r="AM56" i="68"/>
  <c r="AL56" i="68"/>
  <c r="AK56" i="68"/>
  <c r="AI56" i="68"/>
  <c r="Q56" i="68"/>
  <c r="P56" i="68"/>
  <c r="M56" i="68"/>
  <c r="L56" i="68"/>
  <c r="K56" i="68"/>
  <c r="J56" i="68"/>
  <c r="I56" i="68"/>
  <c r="H56" i="68"/>
  <c r="D56" i="68"/>
  <c r="AT44" i="68"/>
  <c r="AR44" i="68"/>
  <c r="AQ44" i="68"/>
  <c r="AP44" i="68"/>
  <c r="AO44" i="68"/>
  <c r="AN44" i="68"/>
  <c r="AM44" i="68"/>
  <c r="AL44" i="68"/>
  <c r="AK44" i="68"/>
  <c r="AI44" i="68"/>
  <c r="Q44" i="68"/>
  <c r="P44" i="68"/>
  <c r="M44" i="68"/>
  <c r="L44" i="68"/>
  <c r="K44" i="68"/>
  <c r="J44" i="68"/>
  <c r="I44" i="68"/>
  <c r="H44" i="68"/>
  <c r="D44" i="68"/>
  <c r="AT57" i="68"/>
  <c r="AR57" i="68"/>
  <c r="AQ57" i="68"/>
  <c r="AP57" i="68"/>
  <c r="AO57" i="68"/>
  <c r="AN57" i="68"/>
  <c r="AM57" i="68"/>
  <c r="AL57" i="68"/>
  <c r="AK57" i="68"/>
  <c r="AI57" i="68"/>
  <c r="Q57" i="68"/>
  <c r="P57" i="68"/>
  <c r="M57" i="68"/>
  <c r="L57" i="68"/>
  <c r="K57" i="68"/>
  <c r="J57" i="68"/>
  <c r="I57" i="68"/>
  <c r="H57" i="68"/>
  <c r="D57" i="68"/>
  <c r="AT51" i="68"/>
  <c r="AR51" i="68"/>
  <c r="AQ51" i="68"/>
  <c r="AP51" i="68"/>
  <c r="AO51" i="68"/>
  <c r="AN51" i="68"/>
  <c r="AM51" i="68"/>
  <c r="AL51" i="68"/>
  <c r="AK51" i="68"/>
  <c r="AI51" i="68"/>
  <c r="Q51" i="68"/>
  <c r="P51" i="68"/>
  <c r="M51" i="68"/>
  <c r="L51" i="68"/>
  <c r="K51" i="68"/>
  <c r="J51" i="68"/>
  <c r="I51" i="68"/>
  <c r="H51" i="68"/>
  <c r="D51" i="68"/>
  <c r="AT27" i="68"/>
  <c r="AR27" i="68"/>
  <c r="AQ27" i="68"/>
  <c r="AP27" i="68"/>
  <c r="AO27" i="68"/>
  <c r="AN27" i="68"/>
  <c r="AM27" i="68"/>
  <c r="AL27" i="68"/>
  <c r="AK27" i="68"/>
  <c r="AI27" i="68"/>
  <c r="Q27" i="68"/>
  <c r="P27" i="68"/>
  <c r="M27" i="68"/>
  <c r="L27" i="68"/>
  <c r="K27" i="68"/>
  <c r="J27" i="68"/>
  <c r="I27" i="68"/>
  <c r="H27" i="68"/>
  <c r="D27" i="68"/>
  <c r="AT41" i="68"/>
  <c r="AR41" i="68"/>
  <c r="AQ41" i="68"/>
  <c r="AP41" i="68"/>
  <c r="AO41" i="68"/>
  <c r="AN41" i="68"/>
  <c r="AM41" i="68"/>
  <c r="AL41" i="68"/>
  <c r="AK41" i="68"/>
  <c r="AI41" i="68"/>
  <c r="Q41" i="68"/>
  <c r="P41" i="68"/>
  <c r="M41" i="68"/>
  <c r="L41" i="68"/>
  <c r="K41" i="68"/>
  <c r="J41" i="68"/>
  <c r="I41" i="68"/>
  <c r="H41" i="68"/>
  <c r="D41" i="68"/>
  <c r="AT64" i="68"/>
  <c r="AR64" i="68"/>
  <c r="AQ64" i="68"/>
  <c r="AP64" i="68"/>
  <c r="AO64" i="68"/>
  <c r="AN64" i="68"/>
  <c r="AM64" i="68"/>
  <c r="AL64" i="68"/>
  <c r="AK64" i="68"/>
  <c r="AI64" i="68"/>
  <c r="Q64" i="68"/>
  <c r="P64" i="68"/>
  <c r="M64" i="68"/>
  <c r="L64" i="68"/>
  <c r="K64" i="68"/>
  <c r="J64" i="68"/>
  <c r="I64" i="68"/>
  <c r="H64" i="68"/>
  <c r="D64" i="68"/>
  <c r="AT60" i="68"/>
  <c r="AR60" i="68"/>
  <c r="AQ60" i="68"/>
  <c r="AP60" i="68"/>
  <c r="AO60" i="68"/>
  <c r="AN60" i="68"/>
  <c r="AM60" i="68"/>
  <c r="AL60" i="68"/>
  <c r="AK60" i="68"/>
  <c r="AI60" i="68"/>
  <c r="Q60" i="68"/>
  <c r="P60" i="68"/>
  <c r="M60" i="68"/>
  <c r="L60" i="68"/>
  <c r="K60" i="68"/>
  <c r="J60" i="68"/>
  <c r="I60" i="68"/>
  <c r="H60" i="68"/>
  <c r="D60" i="68"/>
  <c r="AT61" i="68"/>
  <c r="AR61" i="68"/>
  <c r="AQ61" i="68"/>
  <c r="AP61" i="68"/>
  <c r="AO61" i="68"/>
  <c r="AN61" i="68"/>
  <c r="AM61" i="68"/>
  <c r="AL61" i="68"/>
  <c r="AK61" i="68"/>
  <c r="AI61" i="68"/>
  <c r="Q61" i="68"/>
  <c r="P61" i="68"/>
  <c r="M61" i="68"/>
  <c r="L61" i="68"/>
  <c r="K61" i="68"/>
  <c r="J61" i="68"/>
  <c r="I61" i="68"/>
  <c r="H61" i="68"/>
  <c r="D61" i="68"/>
  <c r="AT55" i="68"/>
  <c r="AR55" i="68"/>
  <c r="AQ55" i="68"/>
  <c r="AP55" i="68"/>
  <c r="AO55" i="68"/>
  <c r="AN55" i="68"/>
  <c r="AM55" i="68"/>
  <c r="AL55" i="68"/>
  <c r="AK55" i="68"/>
  <c r="AI55" i="68"/>
  <c r="Q55" i="68"/>
  <c r="P55" i="68"/>
  <c r="M55" i="68"/>
  <c r="L55" i="68"/>
  <c r="K55" i="68"/>
  <c r="J55" i="68"/>
  <c r="I55" i="68"/>
  <c r="H55" i="68"/>
  <c r="D55" i="68"/>
  <c r="AT52" i="68"/>
  <c r="AR52" i="68"/>
  <c r="AQ52" i="68"/>
  <c r="AP52" i="68"/>
  <c r="AO52" i="68"/>
  <c r="AN52" i="68"/>
  <c r="AM52" i="68"/>
  <c r="AL52" i="68"/>
  <c r="AK52" i="68"/>
  <c r="AI52" i="68"/>
  <c r="Q52" i="68"/>
  <c r="P52" i="68"/>
  <c r="M52" i="68"/>
  <c r="L52" i="68"/>
  <c r="K52" i="68"/>
  <c r="J52" i="68"/>
  <c r="I52" i="68"/>
  <c r="H52" i="68"/>
  <c r="D52" i="68"/>
  <c r="AT25" i="68"/>
  <c r="AR25" i="68"/>
  <c r="AQ25" i="68"/>
  <c r="AP25" i="68"/>
  <c r="AO25" i="68"/>
  <c r="AN25" i="68"/>
  <c r="AM25" i="68"/>
  <c r="AL25" i="68"/>
  <c r="AK25" i="68"/>
  <c r="AI25" i="68"/>
  <c r="Q25" i="68"/>
  <c r="P25" i="68"/>
  <c r="M25" i="68"/>
  <c r="L25" i="68"/>
  <c r="K25" i="68"/>
  <c r="J25" i="68"/>
  <c r="I25" i="68"/>
  <c r="H25" i="68"/>
  <c r="D25" i="68"/>
  <c r="AT50" i="68"/>
  <c r="AR50" i="68"/>
  <c r="AQ50" i="68"/>
  <c r="AP50" i="68"/>
  <c r="AO50" i="68"/>
  <c r="AN50" i="68"/>
  <c r="AM50" i="68"/>
  <c r="AL50" i="68"/>
  <c r="AK50" i="68"/>
  <c r="AI50" i="68"/>
  <c r="Q50" i="68"/>
  <c r="P50" i="68"/>
  <c r="M50" i="68"/>
  <c r="L50" i="68"/>
  <c r="K50" i="68"/>
  <c r="J50" i="68"/>
  <c r="I50" i="68"/>
  <c r="H50" i="68"/>
  <c r="AT45" i="68"/>
  <c r="AR45" i="68"/>
  <c r="AQ45" i="68"/>
  <c r="AP45" i="68"/>
  <c r="AO45" i="68"/>
  <c r="AN45" i="68"/>
  <c r="AM45" i="68"/>
  <c r="AL45" i="68"/>
  <c r="AK45" i="68"/>
  <c r="AI45" i="68"/>
  <c r="Q45" i="68"/>
  <c r="P45" i="68"/>
  <c r="M45" i="68"/>
  <c r="L45" i="68"/>
  <c r="K45" i="68"/>
  <c r="J45" i="68"/>
  <c r="I45" i="68"/>
  <c r="H45" i="68"/>
  <c r="D45" i="68"/>
  <c r="AT47" i="68"/>
  <c r="AR47" i="68"/>
  <c r="AQ47" i="68"/>
  <c r="AP47" i="68"/>
  <c r="AO47" i="68"/>
  <c r="AN47" i="68"/>
  <c r="AM47" i="68"/>
  <c r="AL47" i="68"/>
  <c r="AK47" i="68"/>
  <c r="AI47" i="68"/>
  <c r="Q47" i="68"/>
  <c r="P47" i="68"/>
  <c r="M47" i="68"/>
  <c r="L47" i="68"/>
  <c r="K47" i="68"/>
  <c r="J47" i="68"/>
  <c r="I47" i="68"/>
  <c r="H47" i="68"/>
  <c r="D47" i="68"/>
  <c r="AT49" i="68"/>
  <c r="AR49" i="68"/>
  <c r="AQ49" i="68"/>
  <c r="AP49" i="68"/>
  <c r="AO49" i="68"/>
  <c r="AN49" i="68"/>
  <c r="AM49" i="68"/>
  <c r="AL49" i="68"/>
  <c r="AK49" i="68"/>
  <c r="AI49" i="68"/>
  <c r="Q49" i="68"/>
  <c r="P49" i="68"/>
  <c r="M49" i="68"/>
  <c r="L49" i="68"/>
  <c r="K49" i="68"/>
  <c r="J49" i="68"/>
  <c r="I49" i="68"/>
  <c r="H49" i="68"/>
  <c r="D49" i="68"/>
  <c r="AT36" i="68"/>
  <c r="AR36" i="68"/>
  <c r="AQ36" i="68"/>
  <c r="AP36" i="68"/>
  <c r="AO36" i="68"/>
  <c r="AN36" i="68"/>
  <c r="AM36" i="68"/>
  <c r="AL36" i="68"/>
  <c r="AK36" i="68"/>
  <c r="AI36" i="68"/>
  <c r="Q36" i="68"/>
  <c r="P36" i="68"/>
  <c r="M36" i="68"/>
  <c r="L36" i="68"/>
  <c r="K36" i="68"/>
  <c r="J36" i="68"/>
  <c r="I36" i="68"/>
  <c r="H36" i="68"/>
  <c r="D36" i="68"/>
  <c r="AT19" i="68"/>
  <c r="AR19" i="68"/>
  <c r="AQ19" i="68"/>
  <c r="AP19" i="68"/>
  <c r="AO19" i="68"/>
  <c r="AN19" i="68"/>
  <c r="AM19" i="68"/>
  <c r="AL19" i="68"/>
  <c r="AK19" i="68"/>
  <c r="AI19" i="68"/>
  <c r="Q19" i="68"/>
  <c r="P19" i="68"/>
  <c r="M19" i="68"/>
  <c r="L19" i="68"/>
  <c r="K19" i="68"/>
  <c r="J19" i="68"/>
  <c r="I19" i="68"/>
  <c r="H19" i="68"/>
  <c r="D19" i="68"/>
  <c r="AT29" i="68"/>
  <c r="AR29" i="68"/>
  <c r="AQ29" i="68"/>
  <c r="AP29" i="68"/>
  <c r="AO29" i="68"/>
  <c r="AN29" i="68"/>
  <c r="AM29" i="68"/>
  <c r="AL29" i="68"/>
  <c r="AK29" i="68"/>
  <c r="AI29" i="68"/>
  <c r="Q29" i="68"/>
  <c r="P29" i="68"/>
  <c r="M29" i="68"/>
  <c r="L29" i="68"/>
  <c r="K29" i="68"/>
  <c r="J29" i="68"/>
  <c r="I29" i="68"/>
  <c r="H29" i="68"/>
  <c r="D29" i="68"/>
  <c r="AT59" i="68"/>
  <c r="AR59" i="68"/>
  <c r="AQ59" i="68"/>
  <c r="AP59" i="68"/>
  <c r="AO59" i="68"/>
  <c r="AN59" i="68"/>
  <c r="AM59" i="68"/>
  <c r="AL59" i="68"/>
  <c r="AK59" i="68"/>
  <c r="AI59" i="68"/>
  <c r="Q59" i="68"/>
  <c r="P59" i="68"/>
  <c r="M59" i="68"/>
  <c r="L59" i="68"/>
  <c r="K59" i="68"/>
  <c r="J59" i="68"/>
  <c r="I59" i="68"/>
  <c r="H59" i="68"/>
  <c r="D59" i="68"/>
  <c r="AT6" i="68"/>
  <c r="AR6" i="68"/>
  <c r="AQ6" i="68"/>
  <c r="AP6" i="68"/>
  <c r="AO6" i="68"/>
  <c r="AN6" i="68"/>
  <c r="AM6" i="68"/>
  <c r="AL6" i="68"/>
  <c r="AK6" i="68"/>
  <c r="AH6" i="68"/>
  <c r="AI6" i="68" s="1"/>
  <c r="Q6" i="68"/>
  <c r="O6" i="68"/>
  <c r="M6" i="68"/>
  <c r="L6" i="68"/>
  <c r="K6" i="68"/>
  <c r="J6" i="68"/>
  <c r="I6" i="68"/>
  <c r="AT5" i="68"/>
  <c r="AR5" i="68"/>
  <c r="AQ5" i="68"/>
  <c r="AP5" i="68"/>
  <c r="AO5" i="68"/>
  <c r="AN5" i="68"/>
  <c r="AM5" i="68"/>
  <c r="AL5" i="68"/>
  <c r="AK5" i="68"/>
  <c r="AH5" i="68"/>
  <c r="AI5" i="68" s="1"/>
  <c r="Q5" i="68"/>
  <c r="O5" i="68"/>
  <c r="M5" i="68"/>
  <c r="L5" i="68"/>
  <c r="K5" i="68"/>
  <c r="J5" i="68"/>
  <c r="I5" i="68"/>
  <c r="AT4" i="68"/>
  <c r="AR4" i="68"/>
  <c r="AQ4" i="68"/>
  <c r="AP4" i="68"/>
  <c r="AO4" i="68"/>
  <c r="AN4" i="68"/>
  <c r="AM4" i="68"/>
  <c r="AL4" i="68"/>
  <c r="AK4" i="68"/>
  <c r="AH4" i="68"/>
  <c r="AI4" i="68" s="1"/>
  <c r="Q4" i="68"/>
  <c r="O4" i="68"/>
  <c r="M4" i="68"/>
  <c r="L4" i="68"/>
  <c r="K4" i="68"/>
  <c r="J4" i="68"/>
  <c r="I4" i="68"/>
  <c r="AT3" i="68"/>
  <c r="AR3" i="68"/>
  <c r="AQ3" i="68"/>
  <c r="AP3" i="68"/>
  <c r="AO3" i="68"/>
  <c r="AN3" i="68"/>
  <c r="AM3" i="68"/>
  <c r="AL3" i="68"/>
  <c r="AK3" i="68"/>
  <c r="AH3" i="68"/>
  <c r="AI3" i="68" s="1"/>
  <c r="Q3" i="68"/>
  <c r="O3" i="68"/>
  <c r="M3" i="68"/>
  <c r="L3" i="68"/>
  <c r="K3" i="68"/>
  <c r="J3" i="68"/>
  <c r="I3" i="68"/>
  <c r="AR2" i="68"/>
  <c r="AQ2" i="68"/>
  <c r="AP2" i="68"/>
  <c r="AO2" i="68"/>
  <c r="AN2" i="68"/>
  <c r="AM2" i="68"/>
  <c r="AL2" i="68"/>
  <c r="AK2" i="68"/>
  <c r="M2" i="68"/>
  <c r="L2" i="68"/>
  <c r="K2" i="68"/>
  <c r="J2" i="68"/>
  <c r="I2" i="68"/>
  <c r="F2" i="68"/>
  <c r="E2" i="68"/>
  <c r="Q2" i="68" s="1"/>
  <c r="D2" i="68"/>
  <c r="O2" i="68" s="1"/>
  <c r="H23" i="29"/>
  <c r="A23" i="29" s="1"/>
  <c r="I23" i="29"/>
  <c r="J23" i="29"/>
  <c r="K23" i="29"/>
  <c r="L23" i="29"/>
  <c r="M23" i="29"/>
  <c r="O23" i="29"/>
  <c r="R23" i="29" s="1"/>
  <c r="P23" i="29"/>
  <c r="Q23" i="29"/>
  <c r="AI23" i="29"/>
  <c r="AK23" i="29"/>
  <c r="AL23" i="29"/>
  <c r="AM23" i="29"/>
  <c r="AN23" i="29"/>
  <c r="AO23" i="29"/>
  <c r="AP23" i="29"/>
  <c r="AQ23" i="29"/>
  <c r="AR23" i="29"/>
  <c r="AT23" i="29"/>
  <c r="H40" i="29"/>
  <c r="A40" i="29" s="1"/>
  <c r="D54" i="29"/>
  <c r="D40" i="29"/>
  <c r="AR2" i="29"/>
  <c r="AQ2" i="29"/>
  <c r="AP2" i="29"/>
  <c r="AO2" i="29"/>
  <c r="AN2" i="29"/>
  <c r="AN4" i="29"/>
  <c r="AM2" i="29"/>
  <c r="AL2" i="29"/>
  <c r="AK2" i="29"/>
  <c r="AK3" i="29"/>
  <c r="L2" i="29"/>
  <c r="K2" i="29"/>
  <c r="J2" i="29"/>
  <c r="I2" i="29"/>
  <c r="B3" i="61"/>
  <c r="B2" i="61"/>
  <c r="B1" i="61"/>
  <c r="I40" i="29"/>
  <c r="J40" i="29"/>
  <c r="K40" i="29"/>
  <c r="L40" i="29"/>
  <c r="M40" i="29"/>
  <c r="O40" i="29"/>
  <c r="P40" i="29"/>
  <c r="Q40" i="29"/>
  <c r="AI40" i="29"/>
  <c r="AK40" i="29"/>
  <c r="AL40" i="29"/>
  <c r="AM40" i="29"/>
  <c r="AN40" i="29"/>
  <c r="AO40" i="29"/>
  <c r="AP40" i="29"/>
  <c r="AQ40" i="29"/>
  <c r="AR40" i="29"/>
  <c r="AT40" i="29"/>
  <c r="H54" i="29"/>
  <c r="A54" i="29" s="1"/>
  <c r="I54" i="29"/>
  <c r="J54" i="29"/>
  <c r="K54" i="29"/>
  <c r="L54" i="29"/>
  <c r="M54" i="29"/>
  <c r="O54" i="29"/>
  <c r="P54" i="29"/>
  <c r="Q54" i="29"/>
  <c r="AI54" i="29"/>
  <c r="AK54" i="29"/>
  <c r="AL54" i="29"/>
  <c r="AM54" i="29"/>
  <c r="AN54" i="29"/>
  <c r="AO54" i="29"/>
  <c r="AP54" i="29"/>
  <c r="AQ54" i="29"/>
  <c r="AR54" i="29"/>
  <c r="AT54" i="29"/>
  <c r="R66" i="68" l="1"/>
  <c r="R67" i="68"/>
  <c r="J11" i="68"/>
  <c r="D7" i="71"/>
  <c r="H7" i="71"/>
  <c r="G7" i="71"/>
  <c r="O38" i="70"/>
  <c r="R38" i="70" s="1"/>
  <c r="O24" i="70"/>
  <c r="R24" i="70" s="1"/>
  <c r="G4" i="71"/>
  <c r="O28" i="68"/>
  <c r="R28" i="68" s="1"/>
  <c r="O42" i="70"/>
  <c r="R42" i="70" s="1"/>
  <c r="A42" i="70"/>
  <c r="O52" i="69"/>
  <c r="A52" i="69"/>
  <c r="O42" i="69"/>
  <c r="A42" i="69"/>
  <c r="O53" i="68"/>
  <c r="R53" i="68" s="1"/>
  <c r="O62" i="68"/>
  <c r="R62" i="68" s="1"/>
  <c r="O37" i="68"/>
  <c r="R37" i="68" s="1"/>
  <c r="O19" i="68"/>
  <c r="O36" i="68"/>
  <c r="R36" i="68" s="1"/>
  <c r="R41" i="69"/>
  <c r="Q13" i="69"/>
  <c r="O27" i="69"/>
  <c r="R52" i="69"/>
  <c r="Q8" i="69"/>
  <c r="R30" i="69"/>
  <c r="Q11" i="69"/>
  <c r="R42" i="69"/>
  <c r="O24" i="69"/>
  <c r="Q9" i="69"/>
  <c r="Q10" i="69"/>
  <c r="AN14" i="69"/>
  <c r="Q12" i="69"/>
  <c r="AM8" i="69"/>
  <c r="AM9" i="69"/>
  <c r="AM10" i="69"/>
  <c r="AM11" i="69"/>
  <c r="AM12" i="69"/>
  <c r="AP13" i="69"/>
  <c r="AO14" i="69"/>
  <c r="O35" i="69"/>
  <c r="A57" i="69"/>
  <c r="O61" i="69"/>
  <c r="AP8" i="69"/>
  <c r="AP9" i="69"/>
  <c r="AP10" i="69"/>
  <c r="AP11" i="69"/>
  <c r="AP12" i="69"/>
  <c r="I14" i="69"/>
  <c r="AT8" i="69"/>
  <c r="AT9" i="69"/>
  <c r="AT10" i="69"/>
  <c r="AT11" i="69"/>
  <c r="AT12" i="69"/>
  <c r="Q14" i="69"/>
  <c r="A32" i="69"/>
  <c r="A44" i="69"/>
  <c r="I8" i="69"/>
  <c r="I9" i="69"/>
  <c r="I10" i="69"/>
  <c r="I11" i="69"/>
  <c r="I12" i="69"/>
  <c r="I13" i="69"/>
  <c r="AM14" i="69"/>
  <c r="R29" i="69"/>
  <c r="R53" i="69"/>
  <c r="R54" i="69"/>
  <c r="L8" i="69"/>
  <c r="L9" i="69"/>
  <c r="L10" i="69"/>
  <c r="L11" i="69"/>
  <c r="L12" i="69"/>
  <c r="L13" i="69"/>
  <c r="AT14" i="69"/>
  <c r="O19" i="69"/>
  <c r="R19" i="69" s="1"/>
  <c r="R40" i="69"/>
  <c r="A36" i="69"/>
  <c r="O43" i="69"/>
  <c r="R43" i="69" s="1"/>
  <c r="A55" i="69"/>
  <c r="AQ14" i="70"/>
  <c r="R27" i="70"/>
  <c r="A21" i="70"/>
  <c r="O23" i="70"/>
  <c r="R23" i="70" s="1"/>
  <c r="O59" i="70"/>
  <c r="R59" i="70" s="1"/>
  <c r="AK8" i="70"/>
  <c r="AQ10" i="70"/>
  <c r="J13" i="70"/>
  <c r="AQ8" i="70"/>
  <c r="J11" i="70"/>
  <c r="AN13" i="70"/>
  <c r="R30" i="70"/>
  <c r="R39" i="70"/>
  <c r="R41" i="70"/>
  <c r="J9" i="70"/>
  <c r="AN11" i="70"/>
  <c r="M14" i="70"/>
  <c r="AP14" i="70"/>
  <c r="R25" i="70"/>
  <c r="R28" i="70"/>
  <c r="A37" i="70"/>
  <c r="R40" i="70"/>
  <c r="A43" i="70"/>
  <c r="O43" i="70"/>
  <c r="AN9" i="70"/>
  <c r="M12" i="70"/>
  <c r="AK14" i="70"/>
  <c r="R29" i="70"/>
  <c r="R63" i="70"/>
  <c r="M10" i="70"/>
  <c r="AK12" i="70"/>
  <c r="R51" i="70"/>
  <c r="R54" i="70"/>
  <c r="R62" i="70"/>
  <c r="A59" i="70"/>
  <c r="O60" i="70"/>
  <c r="R60" i="70" s="1"/>
  <c r="A60" i="70"/>
  <c r="A58" i="70"/>
  <c r="O58" i="70"/>
  <c r="R58" i="70" s="1"/>
  <c r="A55" i="70"/>
  <c r="O55" i="70"/>
  <c r="R55" i="70" s="1"/>
  <c r="A56" i="70"/>
  <c r="O56" i="70"/>
  <c r="R56" i="70" s="1"/>
  <c r="O57" i="70"/>
  <c r="R57" i="70" s="1"/>
  <c r="A57" i="70"/>
  <c r="A45" i="70"/>
  <c r="O45" i="70"/>
  <c r="R45" i="70" s="1"/>
  <c r="A50" i="70"/>
  <c r="O50" i="70"/>
  <c r="R50" i="70" s="1"/>
  <c r="A48" i="70"/>
  <c r="O48" i="70"/>
  <c r="R48" i="70" s="1"/>
  <c r="O49" i="70"/>
  <c r="R49" i="70" s="1"/>
  <c r="A49" i="70"/>
  <c r="R43" i="70"/>
  <c r="O44" i="70"/>
  <c r="R44" i="70" s="1"/>
  <c r="A44" i="70"/>
  <c r="A46" i="70"/>
  <c r="O46" i="70"/>
  <c r="R46" i="70" s="1"/>
  <c r="A47" i="70"/>
  <c r="R47" i="70"/>
  <c r="A31" i="70"/>
  <c r="O31" i="70"/>
  <c r="R31" i="70" s="1"/>
  <c r="A34" i="70"/>
  <c r="O34" i="70"/>
  <c r="R34" i="70" s="1"/>
  <c r="A36" i="70"/>
  <c r="O36" i="70"/>
  <c r="R36" i="70" s="1"/>
  <c r="O35" i="70"/>
  <c r="R35" i="70" s="1"/>
  <c r="A35" i="70"/>
  <c r="A32" i="70"/>
  <c r="O32" i="70"/>
  <c r="R32" i="70" s="1"/>
  <c r="A38" i="70"/>
  <c r="O33" i="70"/>
  <c r="R33" i="70" s="1"/>
  <c r="A33" i="70"/>
  <c r="O37" i="70"/>
  <c r="R37" i="70" s="1"/>
  <c r="O22" i="70"/>
  <c r="R22" i="70" s="1"/>
  <c r="A22" i="70"/>
  <c r="A23" i="70"/>
  <c r="H14" i="70"/>
  <c r="O19" i="70"/>
  <c r="R19" i="70" s="1"/>
  <c r="A19" i="70"/>
  <c r="A17" i="70"/>
  <c r="O17" i="70"/>
  <c r="R17" i="70" s="1"/>
  <c r="A16" i="70"/>
  <c r="O16" i="70"/>
  <c r="R16" i="70" s="1"/>
  <c r="O21" i="70"/>
  <c r="R21" i="70" s="1"/>
  <c r="AH2" i="70"/>
  <c r="AI2" i="70" s="1"/>
  <c r="AI3" i="70"/>
  <c r="O20" i="70"/>
  <c r="R20" i="70" s="1"/>
  <c r="A20" i="70"/>
  <c r="A18" i="70"/>
  <c r="O18" i="70"/>
  <c r="R18" i="70" s="1"/>
  <c r="R6" i="70"/>
  <c r="R4" i="70"/>
  <c r="AT2" i="70"/>
  <c r="R5" i="70"/>
  <c r="R2" i="70"/>
  <c r="H3" i="70"/>
  <c r="B3" i="70" s="1"/>
  <c r="O3" i="70"/>
  <c r="R3" i="70" s="1"/>
  <c r="H5" i="70"/>
  <c r="B5" i="70" s="1"/>
  <c r="H8" i="70"/>
  <c r="AO9" i="70"/>
  <c r="AL14" i="70"/>
  <c r="I8" i="70"/>
  <c r="Q8" i="70"/>
  <c r="AM8" i="70"/>
  <c r="AT8" i="70"/>
  <c r="L9" i="70"/>
  <c r="AP9" i="70"/>
  <c r="I10" i="70"/>
  <c r="Q10" i="70"/>
  <c r="AM10" i="70"/>
  <c r="AT10" i="70"/>
  <c r="L11" i="70"/>
  <c r="AP11" i="70"/>
  <c r="I12" i="70"/>
  <c r="Q12" i="70"/>
  <c r="AM12" i="70"/>
  <c r="AT12" i="70"/>
  <c r="L13" i="70"/>
  <c r="AP13" i="70"/>
  <c r="I14" i="70"/>
  <c r="Q14" i="70"/>
  <c r="AM14" i="70"/>
  <c r="AT14" i="70"/>
  <c r="AR8" i="70"/>
  <c r="H10" i="70"/>
  <c r="AR10" i="70"/>
  <c r="AO11" i="70"/>
  <c r="AL12" i="70"/>
  <c r="AO13" i="70"/>
  <c r="AR14" i="70"/>
  <c r="J8" i="70"/>
  <c r="AN8" i="70"/>
  <c r="M9" i="70"/>
  <c r="AK9" i="70"/>
  <c r="AQ9" i="70"/>
  <c r="J10" i="70"/>
  <c r="AN10" i="70"/>
  <c r="M11" i="70"/>
  <c r="AK11" i="70"/>
  <c r="AQ11" i="70"/>
  <c r="J12" i="70"/>
  <c r="AN12" i="70"/>
  <c r="M13" i="70"/>
  <c r="AK13" i="70"/>
  <c r="AQ13" i="70"/>
  <c r="J14" i="70"/>
  <c r="AN14" i="70"/>
  <c r="O8" i="70"/>
  <c r="K9" i="70"/>
  <c r="O10" i="70"/>
  <c r="K11" i="70"/>
  <c r="H12" i="70"/>
  <c r="AR12" i="70"/>
  <c r="K13" i="70"/>
  <c r="O14" i="70"/>
  <c r="H2" i="70"/>
  <c r="B2" i="70" s="1"/>
  <c r="H4" i="70"/>
  <c r="B4" i="70" s="1"/>
  <c r="H6" i="70"/>
  <c r="B6" i="70" s="1"/>
  <c r="K8" i="70"/>
  <c r="AH8" i="70"/>
  <c r="AI8" i="70" s="1"/>
  <c r="AO8" i="70"/>
  <c r="H9" i="70"/>
  <c r="O9" i="70"/>
  <c r="AL9" i="70"/>
  <c r="AR9" i="70"/>
  <c r="K10" i="70"/>
  <c r="AH10" i="70"/>
  <c r="AI10" i="70" s="1"/>
  <c r="AO10" i="70"/>
  <c r="H11" i="70"/>
  <c r="O11" i="70"/>
  <c r="AL11" i="70"/>
  <c r="AR11" i="70"/>
  <c r="K12" i="70"/>
  <c r="AH12" i="70"/>
  <c r="AI12" i="70" s="1"/>
  <c r="AO12" i="70"/>
  <c r="H13" i="70"/>
  <c r="O13" i="70"/>
  <c r="AL13" i="70"/>
  <c r="AR13" i="70"/>
  <c r="K14" i="70"/>
  <c r="AH14" i="70"/>
  <c r="AI14" i="70" s="1"/>
  <c r="AO14" i="70"/>
  <c r="AL8" i="70"/>
  <c r="AH9" i="70"/>
  <c r="AI9" i="70" s="1"/>
  <c r="AL10" i="70"/>
  <c r="AH11" i="70"/>
  <c r="AI11" i="70" s="1"/>
  <c r="O12" i="70"/>
  <c r="AH13" i="70"/>
  <c r="AI13" i="70" s="1"/>
  <c r="L8" i="70"/>
  <c r="AP8" i="70"/>
  <c r="I9" i="70"/>
  <c r="Q9" i="70"/>
  <c r="AM9" i="70"/>
  <c r="AT9" i="70"/>
  <c r="L10" i="70"/>
  <c r="AP10" i="70"/>
  <c r="I11" i="70"/>
  <c r="Q11" i="70"/>
  <c r="AM11" i="70"/>
  <c r="AT11" i="70"/>
  <c r="L12" i="70"/>
  <c r="AP12" i="70"/>
  <c r="I13" i="70"/>
  <c r="Q13" i="70"/>
  <c r="AM13" i="70"/>
  <c r="AT13" i="70"/>
  <c r="L14" i="70"/>
  <c r="A61" i="69"/>
  <c r="R61" i="69"/>
  <c r="O64" i="69"/>
  <c r="R64" i="69" s="1"/>
  <c r="A64" i="69"/>
  <c r="A58" i="69"/>
  <c r="O58" i="69"/>
  <c r="R58" i="69" s="1"/>
  <c r="O63" i="69"/>
  <c r="R63" i="69" s="1"/>
  <c r="A63" i="69"/>
  <c r="A60" i="69"/>
  <c r="O60" i="69"/>
  <c r="R60" i="69" s="1"/>
  <c r="O59" i="69"/>
  <c r="R59" i="69" s="1"/>
  <c r="A59" i="69"/>
  <c r="A62" i="69"/>
  <c r="O62" i="69"/>
  <c r="R62" i="69" s="1"/>
  <c r="H4" i="69"/>
  <c r="B4" i="69" s="1"/>
  <c r="O57" i="69"/>
  <c r="R57" i="69" s="1"/>
  <c r="O56" i="69"/>
  <c r="R56" i="69" s="1"/>
  <c r="O55" i="69"/>
  <c r="R55" i="69" s="1"/>
  <c r="O50" i="69"/>
  <c r="R50" i="69" s="1"/>
  <c r="A50" i="69"/>
  <c r="O44" i="69"/>
  <c r="R44" i="69" s="1"/>
  <c r="A43" i="69"/>
  <c r="A48" i="69"/>
  <c r="O48" i="69"/>
  <c r="R48" i="69" s="1"/>
  <c r="O49" i="69"/>
  <c r="R49" i="69" s="1"/>
  <c r="A49" i="69"/>
  <c r="O45" i="69"/>
  <c r="R45" i="69" s="1"/>
  <c r="A45" i="69"/>
  <c r="A47" i="69"/>
  <c r="O47" i="69"/>
  <c r="R47" i="69" s="1"/>
  <c r="O46" i="69"/>
  <c r="R46" i="69" s="1"/>
  <c r="A51" i="69"/>
  <c r="O51" i="69"/>
  <c r="R51" i="69" s="1"/>
  <c r="H6" i="69"/>
  <c r="B6" i="69" s="1"/>
  <c r="O36" i="69"/>
  <c r="R36" i="69" s="1"/>
  <c r="A35" i="69"/>
  <c r="R35" i="69"/>
  <c r="A38" i="69"/>
  <c r="O38" i="69"/>
  <c r="R38" i="69" s="1"/>
  <c r="A37" i="69"/>
  <c r="O37" i="69"/>
  <c r="R37" i="69" s="1"/>
  <c r="A34" i="69"/>
  <c r="O34" i="69"/>
  <c r="R34" i="69" s="1"/>
  <c r="A33" i="69"/>
  <c r="O33" i="69"/>
  <c r="R33" i="69" s="1"/>
  <c r="O32" i="69"/>
  <c r="R32" i="69" s="1"/>
  <c r="O31" i="69"/>
  <c r="R31" i="69" s="1"/>
  <c r="O39" i="69"/>
  <c r="R39" i="69" s="1"/>
  <c r="A39" i="69"/>
  <c r="H5" i="69"/>
  <c r="B5" i="69" s="1"/>
  <c r="O22" i="69"/>
  <c r="R22" i="69" s="1"/>
  <c r="A22" i="69"/>
  <c r="A27" i="69"/>
  <c r="R27" i="69"/>
  <c r="A23" i="69"/>
  <c r="O23" i="69"/>
  <c r="R23" i="69" s="1"/>
  <c r="A25" i="69"/>
  <c r="O25" i="69"/>
  <c r="R25" i="69" s="1"/>
  <c r="A28" i="69"/>
  <c r="O28" i="69"/>
  <c r="R28" i="69" s="1"/>
  <c r="A20" i="69"/>
  <c r="O20" i="69"/>
  <c r="R20" i="69" s="1"/>
  <c r="A21" i="69"/>
  <c r="O21" i="69"/>
  <c r="R21" i="69" s="1"/>
  <c r="A24" i="69"/>
  <c r="R24" i="69"/>
  <c r="A19" i="69"/>
  <c r="AH2" i="69"/>
  <c r="AI2" i="69" s="1"/>
  <c r="A18" i="69"/>
  <c r="O18" i="69"/>
  <c r="R18" i="69" s="1"/>
  <c r="A17" i="69"/>
  <c r="O17" i="69"/>
  <c r="R17" i="69" s="1"/>
  <c r="AT2" i="69"/>
  <c r="AI3" i="69"/>
  <c r="H2" i="69"/>
  <c r="B2" i="69" s="1"/>
  <c r="O26" i="69"/>
  <c r="R26" i="69" s="1"/>
  <c r="A26" i="69"/>
  <c r="R4" i="69"/>
  <c r="R5" i="69"/>
  <c r="R6" i="69"/>
  <c r="O16" i="69"/>
  <c r="R16" i="69" s="1"/>
  <c r="R3" i="69"/>
  <c r="R2" i="69"/>
  <c r="AM13" i="69"/>
  <c r="L14" i="69"/>
  <c r="M8" i="69"/>
  <c r="AK8" i="69"/>
  <c r="AQ8" i="69"/>
  <c r="J9" i="69"/>
  <c r="AN9" i="69"/>
  <c r="M10" i="69"/>
  <c r="AK10" i="69"/>
  <c r="AQ10" i="69"/>
  <c r="J11" i="69"/>
  <c r="AN11" i="69"/>
  <c r="M12" i="69"/>
  <c r="AK12" i="69"/>
  <c r="AQ12" i="69"/>
  <c r="J13" i="69"/>
  <c r="AN13" i="69"/>
  <c r="M14" i="69"/>
  <c r="AK14" i="69"/>
  <c r="AQ14" i="69"/>
  <c r="A31" i="69"/>
  <c r="A46" i="69"/>
  <c r="A56" i="69"/>
  <c r="AT13" i="69"/>
  <c r="AP14" i="69"/>
  <c r="H3" i="69"/>
  <c r="B3" i="69" s="1"/>
  <c r="H8" i="69"/>
  <c r="O8" i="69"/>
  <c r="AL8" i="69"/>
  <c r="AR8" i="69"/>
  <c r="K9" i="69"/>
  <c r="AH9" i="69"/>
  <c r="AI9" i="69" s="1"/>
  <c r="AO9" i="69"/>
  <c r="H10" i="69"/>
  <c r="O10" i="69"/>
  <c r="AL10" i="69"/>
  <c r="AR10" i="69"/>
  <c r="K11" i="69"/>
  <c r="AH11" i="69"/>
  <c r="AI11" i="69" s="1"/>
  <c r="AO11" i="69"/>
  <c r="H12" i="69"/>
  <c r="O12" i="69"/>
  <c r="AL12" i="69"/>
  <c r="AR12" i="69"/>
  <c r="K13" i="69"/>
  <c r="AH13" i="69"/>
  <c r="AI13" i="69" s="1"/>
  <c r="AO13" i="69"/>
  <c r="H14" i="69"/>
  <c r="O14" i="69"/>
  <c r="AL14" i="69"/>
  <c r="AR14" i="69"/>
  <c r="J8" i="69"/>
  <c r="AN8" i="69"/>
  <c r="M9" i="69"/>
  <c r="AK9" i="69"/>
  <c r="AQ9" i="69"/>
  <c r="J10" i="69"/>
  <c r="AN10" i="69"/>
  <c r="M11" i="69"/>
  <c r="AK11" i="69"/>
  <c r="AQ11" i="69"/>
  <c r="J12" i="69"/>
  <c r="AN12" i="69"/>
  <c r="M13" i="69"/>
  <c r="AK13" i="69"/>
  <c r="AQ13" i="69"/>
  <c r="J14" i="69"/>
  <c r="A16" i="69"/>
  <c r="K8" i="69"/>
  <c r="AH8" i="69"/>
  <c r="AI8" i="69" s="1"/>
  <c r="AO8" i="69"/>
  <c r="H9" i="69"/>
  <c r="O9" i="69"/>
  <c r="AL9" i="69"/>
  <c r="AR9" i="69"/>
  <c r="K10" i="69"/>
  <c r="AH10" i="69"/>
  <c r="AI10" i="69" s="1"/>
  <c r="AO10" i="69"/>
  <c r="H11" i="69"/>
  <c r="O11" i="69"/>
  <c r="AL11" i="69"/>
  <c r="AR11" i="69"/>
  <c r="K12" i="69"/>
  <c r="AH12" i="69"/>
  <c r="AI12" i="69" s="1"/>
  <c r="AO12" i="69"/>
  <c r="H13" i="69"/>
  <c r="O13" i="69"/>
  <c r="AL13" i="69"/>
  <c r="AR13" i="69"/>
  <c r="K14" i="69"/>
  <c r="AH14" i="69"/>
  <c r="AI14" i="69" s="1"/>
  <c r="AN12" i="68"/>
  <c r="AK13" i="68"/>
  <c r="AK8" i="68"/>
  <c r="A64" i="68"/>
  <c r="O64" i="68"/>
  <c r="R64" i="68" s="1"/>
  <c r="A24" i="68"/>
  <c r="O24" i="68"/>
  <c r="R24" i="68" s="1"/>
  <c r="O18" i="68"/>
  <c r="R18" i="68" s="1"/>
  <c r="M10" i="68"/>
  <c r="O25" i="68"/>
  <c r="R25" i="68" s="1"/>
  <c r="O41" i="68"/>
  <c r="R41" i="68" s="1"/>
  <c r="O35" i="68"/>
  <c r="R35" i="68" s="1"/>
  <c r="O63" i="68"/>
  <c r="R63" i="68" s="1"/>
  <c r="O54" i="68"/>
  <c r="R54" i="68" s="1"/>
  <c r="O23" i="68"/>
  <c r="R23" i="68" s="1"/>
  <c r="O40" i="68"/>
  <c r="R40" i="68" s="1"/>
  <c r="O49" i="68"/>
  <c r="R49" i="68" s="1"/>
  <c r="J14" i="68"/>
  <c r="O31" i="68"/>
  <c r="R31" i="68" s="1"/>
  <c r="O26" i="68"/>
  <c r="R26" i="68" s="1"/>
  <c r="A53" i="68"/>
  <c r="O30" i="68"/>
  <c r="R30" i="68" s="1"/>
  <c r="A30" i="68"/>
  <c r="A48" i="68"/>
  <c r="O48" i="68"/>
  <c r="R48" i="68" s="1"/>
  <c r="O34" i="68"/>
  <c r="R34" i="68" s="1"/>
  <c r="A34" i="68"/>
  <c r="A63" i="68"/>
  <c r="A18" i="68"/>
  <c r="O20" i="68"/>
  <c r="R20" i="68" s="1"/>
  <c r="A20" i="68"/>
  <c r="A40" i="68"/>
  <c r="A62" i="68"/>
  <c r="A16" i="68"/>
  <c r="O16" i="68"/>
  <c r="R16" i="68" s="1"/>
  <c r="A38" i="68"/>
  <c r="O38" i="68"/>
  <c r="R38" i="68" s="1"/>
  <c r="O39" i="68"/>
  <c r="R39" i="68" s="1"/>
  <c r="A39" i="68"/>
  <c r="A26" i="68"/>
  <c r="A23" i="68"/>
  <c r="A32" i="68"/>
  <c r="O32" i="68"/>
  <c r="R32" i="68" s="1"/>
  <c r="O43" i="68"/>
  <c r="R43" i="68" s="1"/>
  <c r="A43" i="68"/>
  <c r="O22" i="68"/>
  <c r="R22" i="68" s="1"/>
  <c r="A22" i="68"/>
  <c r="A46" i="68"/>
  <c r="O46" i="68"/>
  <c r="R46" i="68" s="1"/>
  <c r="O42" i="68"/>
  <c r="R42" i="68" s="1"/>
  <c r="A42" i="68"/>
  <c r="A35" i="68"/>
  <c r="A17" i="68"/>
  <c r="O17" i="68"/>
  <c r="R17" i="68" s="1"/>
  <c r="A21" i="68"/>
  <c r="O21" i="68"/>
  <c r="R21" i="68" s="1"/>
  <c r="O58" i="68"/>
  <c r="R58" i="68" s="1"/>
  <c r="A58" i="68"/>
  <c r="A54" i="68"/>
  <c r="A37" i="68"/>
  <c r="A33" i="68"/>
  <c r="O33" i="68"/>
  <c r="R33" i="68" s="1"/>
  <c r="A56" i="68"/>
  <c r="O56" i="68"/>
  <c r="R56" i="68" s="1"/>
  <c r="O44" i="68"/>
  <c r="R44" i="68" s="1"/>
  <c r="A44" i="68"/>
  <c r="O57" i="68"/>
  <c r="R57" i="68" s="1"/>
  <c r="A57" i="68"/>
  <c r="A51" i="68"/>
  <c r="O51" i="68"/>
  <c r="R51" i="68" s="1"/>
  <c r="H5" i="68"/>
  <c r="B5" i="68" s="1"/>
  <c r="O27" i="68"/>
  <c r="R27" i="68" s="1"/>
  <c r="A27" i="68"/>
  <c r="A41" i="68"/>
  <c r="O60" i="68"/>
  <c r="R60" i="68" s="1"/>
  <c r="A60" i="68"/>
  <c r="A61" i="68"/>
  <c r="O61" i="68"/>
  <c r="R61" i="68" s="1"/>
  <c r="A55" i="68"/>
  <c r="O55" i="68"/>
  <c r="R55" i="68" s="1"/>
  <c r="O52" i="68"/>
  <c r="R52" i="68" s="1"/>
  <c r="A52" i="68"/>
  <c r="A25" i="68"/>
  <c r="A50" i="68"/>
  <c r="O50" i="68"/>
  <c r="R50" i="68" s="1"/>
  <c r="A45" i="68"/>
  <c r="O45" i="68"/>
  <c r="R45" i="68" s="1"/>
  <c r="O47" i="68"/>
  <c r="R47" i="68" s="1"/>
  <c r="A47" i="68"/>
  <c r="A49" i="68"/>
  <c r="R3" i="68"/>
  <c r="A36" i="68"/>
  <c r="H3" i="68"/>
  <c r="B3" i="68" s="1"/>
  <c r="A19" i="68"/>
  <c r="R2" i="68"/>
  <c r="O29" i="68"/>
  <c r="R29" i="68" s="1"/>
  <c r="AT2" i="68"/>
  <c r="A59" i="68"/>
  <c r="O59" i="68"/>
  <c r="R59" i="68" s="1"/>
  <c r="R6" i="68"/>
  <c r="R4" i="68"/>
  <c r="R5" i="68"/>
  <c r="M11" i="68"/>
  <c r="AN13" i="68"/>
  <c r="H4" i="68"/>
  <c r="B4" i="68" s="1"/>
  <c r="A28" i="68"/>
  <c r="AK9" i="68"/>
  <c r="J12" i="68"/>
  <c r="AQ12" i="68"/>
  <c r="AK14" i="68"/>
  <c r="AQ8" i="68"/>
  <c r="AN9" i="68"/>
  <c r="AK10" i="68"/>
  <c r="M12" i="68"/>
  <c r="AQ13" i="68"/>
  <c r="AN14" i="68"/>
  <c r="H2" i="68"/>
  <c r="B2" i="68" s="1"/>
  <c r="H13" i="68"/>
  <c r="A29" i="68"/>
  <c r="H8" i="68"/>
  <c r="J8" i="68"/>
  <c r="AN10" i="68"/>
  <c r="AQ14" i="68"/>
  <c r="A31" i="68"/>
  <c r="H6" i="68"/>
  <c r="B6" i="68" s="1"/>
  <c r="AN8" i="68"/>
  <c r="AQ9" i="68"/>
  <c r="AK11" i="68"/>
  <c r="J13" i="68"/>
  <c r="AH8" i="68"/>
  <c r="AI8" i="68" s="1"/>
  <c r="M8" i="68"/>
  <c r="J9" i="68"/>
  <c r="AQ10" i="68"/>
  <c r="AN11" i="68"/>
  <c r="AK12" i="68"/>
  <c r="M13" i="68"/>
  <c r="AH14" i="68"/>
  <c r="AI14" i="68" s="1"/>
  <c r="K14" i="68"/>
  <c r="AR13" i="68"/>
  <c r="O13" i="68"/>
  <c r="AO12" i="68"/>
  <c r="K12" i="68"/>
  <c r="AR11" i="68"/>
  <c r="O11" i="68"/>
  <c r="AO10" i="68"/>
  <c r="K10" i="68"/>
  <c r="AL9" i="68"/>
  <c r="H9" i="68"/>
  <c r="AO8" i="68"/>
  <c r="K8" i="68"/>
  <c r="AO14" i="68"/>
  <c r="AL13" i="68"/>
  <c r="AH12" i="68"/>
  <c r="AI12" i="68" s="1"/>
  <c r="AL11" i="68"/>
  <c r="H11" i="68"/>
  <c r="AH10" i="68"/>
  <c r="AI10" i="68" s="1"/>
  <c r="AR9" i="68"/>
  <c r="O9" i="68"/>
  <c r="AR14" i="68"/>
  <c r="AL14" i="68"/>
  <c r="O14" i="68"/>
  <c r="H14" i="68"/>
  <c r="AO13" i="68"/>
  <c r="AH13" i="68"/>
  <c r="AI13" i="68" s="1"/>
  <c r="K13" i="68"/>
  <c r="AR12" i="68"/>
  <c r="O12" i="68"/>
  <c r="H12" i="68"/>
  <c r="AO11" i="68"/>
  <c r="AH11" i="68"/>
  <c r="AI11" i="68" s="1"/>
  <c r="K11" i="68"/>
  <c r="AR10" i="68"/>
  <c r="AL10" i="68"/>
  <c r="O10" i="68"/>
  <c r="H10" i="68"/>
  <c r="AO9" i="68"/>
  <c r="AH9" i="68"/>
  <c r="AI9" i="68" s="1"/>
  <c r="K9" i="68"/>
  <c r="AR8" i="68"/>
  <c r="AL8" i="68"/>
  <c r="O8" i="68"/>
  <c r="AH2" i="68"/>
  <c r="AI2" i="68" s="1"/>
  <c r="M9" i="68"/>
  <c r="J10" i="68"/>
  <c r="AQ11" i="68"/>
  <c r="AL12" i="68"/>
  <c r="M14" i="68"/>
  <c r="AP14" i="68"/>
  <c r="R19" i="68"/>
  <c r="I8" i="68"/>
  <c r="Q8" i="68"/>
  <c r="AM8" i="68"/>
  <c r="AT8" i="68"/>
  <c r="L9" i="68"/>
  <c r="AP9" i="68"/>
  <c r="I10" i="68"/>
  <c r="Q10" i="68"/>
  <c r="AM10" i="68"/>
  <c r="AT10" i="68"/>
  <c r="L11" i="68"/>
  <c r="AP11" i="68"/>
  <c r="I12" i="68"/>
  <c r="Q12" i="68"/>
  <c r="AM12" i="68"/>
  <c r="AT12" i="68"/>
  <c r="L13" i="68"/>
  <c r="AP13" i="68"/>
  <c r="I14" i="68"/>
  <c r="Q14" i="68"/>
  <c r="AM14" i="68"/>
  <c r="AT14" i="68"/>
  <c r="L8" i="68"/>
  <c r="AP8" i="68"/>
  <c r="I9" i="68"/>
  <c r="Q9" i="68"/>
  <c r="AM9" i="68"/>
  <c r="AT9" i="68"/>
  <c r="L10" i="68"/>
  <c r="AP10" i="68"/>
  <c r="I11" i="68"/>
  <c r="Q11" i="68"/>
  <c r="AM11" i="68"/>
  <c r="AT11" i="68"/>
  <c r="L12" i="68"/>
  <c r="AP12" i="68"/>
  <c r="I13" i="68"/>
  <c r="Q13" i="68"/>
  <c r="AM13" i="68"/>
  <c r="AT13" i="68"/>
  <c r="L14" i="68"/>
  <c r="R40" i="29"/>
  <c r="R54" i="29"/>
  <c r="R11" i="69" l="1"/>
  <c r="R9" i="69"/>
  <c r="R10" i="69"/>
  <c r="R8" i="69"/>
  <c r="R14" i="69"/>
  <c r="R12" i="69"/>
  <c r="R13" i="69"/>
  <c r="R12" i="70"/>
  <c r="R8" i="70"/>
  <c r="B9" i="70"/>
  <c r="B8" i="70"/>
  <c r="B10" i="70"/>
  <c r="B12" i="70"/>
  <c r="B13" i="70"/>
  <c r="B14" i="70"/>
  <c r="B11" i="70"/>
  <c r="R10" i="70"/>
  <c r="R14" i="70"/>
  <c r="R13" i="70"/>
  <c r="R11" i="70"/>
  <c r="R9" i="70"/>
  <c r="B8" i="69"/>
  <c r="B13" i="69"/>
  <c r="B14" i="69"/>
  <c r="B12" i="69"/>
  <c r="B10" i="69"/>
  <c r="B9" i="69"/>
  <c r="B11" i="69"/>
  <c r="B14" i="68"/>
  <c r="B11" i="68"/>
  <c r="R9" i="68"/>
  <c r="R13" i="68"/>
  <c r="R8" i="68"/>
  <c r="B8" i="68"/>
  <c r="R10" i="68"/>
  <c r="R11" i="68"/>
  <c r="B9" i="68"/>
  <c r="B12" i="68"/>
  <c r="R12" i="68"/>
  <c r="R14" i="68"/>
  <c r="B10" i="68"/>
  <c r="B13" i="68"/>
  <c r="Q4" i="29"/>
  <c r="Q5" i="29"/>
  <c r="Q6" i="29"/>
  <c r="Q3" i="29"/>
  <c r="O4" i="29"/>
  <c r="O5" i="29"/>
  <c r="O6" i="29"/>
  <c r="AT41" i="29"/>
  <c r="AR41" i="29"/>
  <c r="AQ41" i="29"/>
  <c r="AP41" i="29"/>
  <c r="AO41" i="29"/>
  <c r="AN41" i="29"/>
  <c r="AM41" i="29"/>
  <c r="AL41" i="29"/>
  <c r="AK41" i="29"/>
  <c r="AI41" i="29"/>
  <c r="Q41" i="29"/>
  <c r="P41" i="29"/>
  <c r="O41" i="29"/>
  <c r="M41" i="29"/>
  <c r="L41" i="29"/>
  <c r="K41" i="29"/>
  <c r="J41" i="29"/>
  <c r="I41" i="29"/>
  <c r="H41" i="29"/>
  <c r="A41" i="29" s="1"/>
  <c r="D41" i="29"/>
  <c r="AT58" i="29"/>
  <c r="AR58" i="29"/>
  <c r="AQ58" i="29"/>
  <c r="AP58" i="29"/>
  <c r="AO58" i="29"/>
  <c r="AN58" i="29"/>
  <c r="AM58" i="29"/>
  <c r="AL58" i="29"/>
  <c r="AK58" i="29"/>
  <c r="AI58" i="29"/>
  <c r="Q58" i="29"/>
  <c r="P58" i="29"/>
  <c r="M58" i="29"/>
  <c r="L58" i="29"/>
  <c r="K58" i="29"/>
  <c r="J58" i="29"/>
  <c r="I58" i="29"/>
  <c r="H58" i="29"/>
  <c r="A58" i="29" s="1"/>
  <c r="D58" i="29"/>
  <c r="AT59" i="29"/>
  <c r="AR59" i="29"/>
  <c r="AQ59" i="29"/>
  <c r="AP59" i="29"/>
  <c r="AO59" i="29"/>
  <c r="AN59" i="29"/>
  <c r="AM59" i="29"/>
  <c r="AL59" i="29"/>
  <c r="AK59" i="29"/>
  <c r="AI59" i="29"/>
  <c r="Q59" i="29"/>
  <c r="P59" i="29"/>
  <c r="M59" i="29"/>
  <c r="L59" i="29"/>
  <c r="K59" i="29"/>
  <c r="J59" i="29"/>
  <c r="I59" i="29"/>
  <c r="H59" i="29"/>
  <c r="A59" i="29" s="1"/>
  <c r="D59" i="29"/>
  <c r="AT55" i="29"/>
  <c r="AR55" i="29"/>
  <c r="AQ55" i="29"/>
  <c r="AP55" i="29"/>
  <c r="AO55" i="29"/>
  <c r="AN55" i="29"/>
  <c r="AM55" i="29"/>
  <c r="AL55" i="29"/>
  <c r="AK55" i="29"/>
  <c r="AI55" i="29"/>
  <c r="Q55" i="29"/>
  <c r="P55" i="29"/>
  <c r="M55" i="29"/>
  <c r="L55" i="29"/>
  <c r="K55" i="29"/>
  <c r="J55" i="29"/>
  <c r="I55" i="29"/>
  <c r="H55" i="29"/>
  <c r="A55" i="29" s="1"/>
  <c r="D55" i="29"/>
  <c r="AT60" i="29"/>
  <c r="AR60" i="29"/>
  <c r="AQ60" i="29"/>
  <c r="AP60" i="29"/>
  <c r="AO60" i="29"/>
  <c r="AN60" i="29"/>
  <c r="AM60" i="29"/>
  <c r="AL60" i="29"/>
  <c r="AK60" i="29"/>
  <c r="AI60" i="29"/>
  <c r="Q60" i="29"/>
  <c r="P60" i="29"/>
  <c r="M60" i="29"/>
  <c r="L60" i="29"/>
  <c r="K60" i="29"/>
  <c r="J60" i="29"/>
  <c r="I60" i="29"/>
  <c r="H60" i="29"/>
  <c r="A60" i="29" s="1"/>
  <c r="D60" i="29"/>
  <c r="AT63" i="29"/>
  <c r="AR63" i="29"/>
  <c r="AQ63" i="29"/>
  <c r="AP63" i="29"/>
  <c r="AO63" i="29"/>
  <c r="AN63" i="29"/>
  <c r="AM63" i="29"/>
  <c r="AL63" i="29"/>
  <c r="AK63" i="29"/>
  <c r="AI63" i="29"/>
  <c r="Q63" i="29"/>
  <c r="P63" i="29"/>
  <c r="M63" i="29"/>
  <c r="L63" i="29"/>
  <c r="K63" i="29"/>
  <c r="J63" i="29"/>
  <c r="I63" i="29"/>
  <c r="H63" i="29"/>
  <c r="A63" i="29" s="1"/>
  <c r="D63" i="29"/>
  <c r="AT64" i="29"/>
  <c r="AR64" i="29"/>
  <c r="AQ64" i="29"/>
  <c r="AP64" i="29"/>
  <c r="AO64" i="29"/>
  <c r="AN64" i="29"/>
  <c r="AM64" i="29"/>
  <c r="AL64" i="29"/>
  <c r="AK64" i="29"/>
  <c r="AI64" i="29"/>
  <c r="Q64" i="29"/>
  <c r="P64" i="29"/>
  <c r="M64" i="29"/>
  <c r="L64" i="29"/>
  <c r="K64" i="29"/>
  <c r="J64" i="29"/>
  <c r="I64" i="29"/>
  <c r="H64" i="29"/>
  <c r="A64" i="29" s="1"/>
  <c r="D64" i="29"/>
  <c r="AT56" i="29"/>
  <c r="AR56" i="29"/>
  <c r="AQ56" i="29"/>
  <c r="AP56" i="29"/>
  <c r="AO56" i="29"/>
  <c r="AN56" i="29"/>
  <c r="AM56" i="29"/>
  <c r="AL56" i="29"/>
  <c r="AK56" i="29"/>
  <c r="AI56" i="29"/>
  <c r="Q56" i="29"/>
  <c r="P56" i="29"/>
  <c r="M56" i="29"/>
  <c r="L56" i="29"/>
  <c r="K56" i="29"/>
  <c r="J56" i="29"/>
  <c r="I56" i="29"/>
  <c r="H56" i="29"/>
  <c r="A56" i="29" s="1"/>
  <c r="D56" i="29"/>
  <c r="AT62" i="29"/>
  <c r="AR62" i="29"/>
  <c r="AQ62" i="29"/>
  <c r="AP62" i="29"/>
  <c r="AO62" i="29"/>
  <c r="AN62" i="29"/>
  <c r="AM62" i="29"/>
  <c r="AL62" i="29"/>
  <c r="AK62" i="29"/>
  <c r="AI62" i="29"/>
  <c r="Q62" i="29"/>
  <c r="P62" i="29"/>
  <c r="M62" i="29"/>
  <c r="L62" i="29"/>
  <c r="K62" i="29"/>
  <c r="J62" i="29"/>
  <c r="I62" i="29"/>
  <c r="H62" i="29"/>
  <c r="A62" i="29" s="1"/>
  <c r="D62" i="29"/>
  <c r="AT38" i="29"/>
  <c r="AR38" i="29"/>
  <c r="AQ38" i="29"/>
  <c r="AP38" i="29"/>
  <c r="AO38" i="29"/>
  <c r="AN38" i="29"/>
  <c r="AM38" i="29"/>
  <c r="AL38" i="29"/>
  <c r="AK38" i="29"/>
  <c r="AI38" i="29"/>
  <c r="Q38" i="29"/>
  <c r="P38" i="29"/>
  <c r="M38" i="29"/>
  <c r="L38" i="29"/>
  <c r="K38" i="29"/>
  <c r="J38" i="29"/>
  <c r="I38" i="29"/>
  <c r="H38" i="29"/>
  <c r="A38" i="29" s="1"/>
  <c r="D38" i="29"/>
  <c r="AT48" i="29"/>
  <c r="AR48" i="29"/>
  <c r="AQ48" i="29"/>
  <c r="AP48" i="29"/>
  <c r="AO48" i="29"/>
  <c r="AN48" i="29"/>
  <c r="AM48" i="29"/>
  <c r="AL48" i="29"/>
  <c r="AK48" i="29"/>
  <c r="AI48" i="29"/>
  <c r="Q48" i="29"/>
  <c r="P48" i="29"/>
  <c r="M48" i="29"/>
  <c r="L48" i="29"/>
  <c r="K48" i="29"/>
  <c r="J48" i="29"/>
  <c r="I48" i="29"/>
  <c r="H48" i="29"/>
  <c r="A48" i="29" s="1"/>
  <c r="D48" i="29"/>
  <c r="AT50" i="29"/>
  <c r="AR50" i="29"/>
  <c r="AQ50" i="29"/>
  <c r="AP50" i="29"/>
  <c r="AO50" i="29"/>
  <c r="AN50" i="29"/>
  <c r="AM50" i="29"/>
  <c r="AL50" i="29"/>
  <c r="AK50" i="29"/>
  <c r="AI50" i="29"/>
  <c r="Q50" i="29"/>
  <c r="P50" i="29"/>
  <c r="M50" i="29"/>
  <c r="L50" i="29"/>
  <c r="K50" i="29"/>
  <c r="J50" i="29"/>
  <c r="I50" i="29"/>
  <c r="H50" i="29"/>
  <c r="A50" i="29" s="1"/>
  <c r="D50" i="29"/>
  <c r="AT26" i="29"/>
  <c r="AR26" i="29"/>
  <c r="AQ26" i="29"/>
  <c r="AP26" i="29"/>
  <c r="AO26" i="29"/>
  <c r="AN26" i="29"/>
  <c r="AM26" i="29"/>
  <c r="AL26" i="29"/>
  <c r="AK26" i="29"/>
  <c r="AI26" i="29"/>
  <c r="Q26" i="29"/>
  <c r="P26" i="29"/>
  <c r="M26" i="29"/>
  <c r="L26" i="29"/>
  <c r="K26" i="29"/>
  <c r="J26" i="29"/>
  <c r="I26" i="29"/>
  <c r="H26" i="29"/>
  <c r="A26" i="29" s="1"/>
  <c r="D26" i="29"/>
  <c r="AT18" i="29"/>
  <c r="AR18" i="29"/>
  <c r="AQ18" i="29"/>
  <c r="AP18" i="29"/>
  <c r="AO18" i="29"/>
  <c r="AN18" i="29"/>
  <c r="AM18" i="29"/>
  <c r="AL18" i="29"/>
  <c r="AK18" i="29"/>
  <c r="AI18" i="29"/>
  <c r="Q18" i="29"/>
  <c r="P18" i="29"/>
  <c r="O18" i="29" s="1"/>
  <c r="M18" i="29"/>
  <c r="L18" i="29"/>
  <c r="K18" i="29"/>
  <c r="J18" i="29"/>
  <c r="I18" i="29"/>
  <c r="H18" i="29"/>
  <c r="A18" i="29" s="1"/>
  <c r="D18" i="29"/>
  <c r="AT34" i="29"/>
  <c r="AR34" i="29"/>
  <c r="AQ34" i="29"/>
  <c r="AP34" i="29"/>
  <c r="AO34" i="29"/>
  <c r="AN34" i="29"/>
  <c r="AM34" i="29"/>
  <c r="AL34" i="29"/>
  <c r="AK34" i="29"/>
  <c r="AI34" i="29"/>
  <c r="Q34" i="29"/>
  <c r="P34" i="29"/>
  <c r="M34" i="29"/>
  <c r="L34" i="29"/>
  <c r="K34" i="29"/>
  <c r="J34" i="29"/>
  <c r="I34" i="29"/>
  <c r="H34" i="29"/>
  <c r="A34" i="29" s="1"/>
  <c r="D34" i="29"/>
  <c r="AT37" i="29"/>
  <c r="AR37" i="29"/>
  <c r="AQ37" i="29"/>
  <c r="AP37" i="29"/>
  <c r="AO37" i="29"/>
  <c r="AN37" i="29"/>
  <c r="AM37" i="29"/>
  <c r="AL37" i="29"/>
  <c r="AK37" i="29"/>
  <c r="AI37" i="29"/>
  <c r="Q37" i="29"/>
  <c r="P37" i="29"/>
  <c r="M37" i="29"/>
  <c r="L37" i="29"/>
  <c r="K37" i="29"/>
  <c r="J37" i="29"/>
  <c r="I37" i="29"/>
  <c r="H37" i="29"/>
  <c r="A37" i="29" s="1"/>
  <c r="D37" i="29"/>
  <c r="AT57" i="29"/>
  <c r="AR57" i="29"/>
  <c r="AQ57" i="29"/>
  <c r="AP57" i="29"/>
  <c r="AO57" i="29"/>
  <c r="AN57" i="29"/>
  <c r="AM57" i="29"/>
  <c r="AL57" i="29"/>
  <c r="AK57" i="29"/>
  <c r="AI57" i="29"/>
  <c r="Q57" i="29"/>
  <c r="P57" i="29"/>
  <c r="M57" i="29"/>
  <c r="L57" i="29"/>
  <c r="K57" i="29"/>
  <c r="J57" i="29"/>
  <c r="I57" i="29"/>
  <c r="H57" i="29"/>
  <c r="A57" i="29" s="1"/>
  <c r="D57" i="29"/>
  <c r="AT44" i="29"/>
  <c r="AR44" i="29"/>
  <c r="AQ44" i="29"/>
  <c r="AP44" i="29"/>
  <c r="AO44" i="29"/>
  <c r="AN44" i="29"/>
  <c r="AM44" i="29"/>
  <c r="AL44" i="29"/>
  <c r="AK44" i="29"/>
  <c r="AI44" i="29"/>
  <c r="Q44" i="29"/>
  <c r="P44" i="29"/>
  <c r="M44" i="29"/>
  <c r="L44" i="29"/>
  <c r="K44" i="29"/>
  <c r="J44" i="29"/>
  <c r="I44" i="29"/>
  <c r="H44" i="29"/>
  <c r="A44" i="29" s="1"/>
  <c r="D44" i="29"/>
  <c r="AT53" i="29"/>
  <c r="AR53" i="29"/>
  <c r="AQ53" i="29"/>
  <c r="AP53" i="29"/>
  <c r="AO53" i="29"/>
  <c r="AN53" i="29"/>
  <c r="AM53" i="29"/>
  <c r="AL53" i="29"/>
  <c r="AK53" i="29"/>
  <c r="AI53" i="29"/>
  <c r="Q53" i="29"/>
  <c r="P53" i="29"/>
  <c r="M53" i="29"/>
  <c r="L53" i="29"/>
  <c r="K53" i="29"/>
  <c r="J53" i="29"/>
  <c r="I53" i="29"/>
  <c r="H53" i="29"/>
  <c r="A53" i="29" s="1"/>
  <c r="D53" i="29"/>
  <c r="AT39" i="29"/>
  <c r="AR39" i="29"/>
  <c r="AQ39" i="29"/>
  <c r="AP39" i="29"/>
  <c r="AO39" i="29"/>
  <c r="AN39" i="29"/>
  <c r="AM39" i="29"/>
  <c r="AL39" i="29"/>
  <c r="AK39" i="29"/>
  <c r="AI39" i="29"/>
  <c r="Q39" i="29"/>
  <c r="P39" i="29"/>
  <c r="M39" i="29"/>
  <c r="L39" i="29"/>
  <c r="K39" i="29"/>
  <c r="J39" i="29"/>
  <c r="I39" i="29"/>
  <c r="H39" i="29"/>
  <c r="A39" i="29" s="1"/>
  <c r="D39" i="29"/>
  <c r="AT32" i="29"/>
  <c r="AR32" i="29"/>
  <c r="AQ32" i="29"/>
  <c r="AP32" i="29"/>
  <c r="AO32" i="29"/>
  <c r="AN32" i="29"/>
  <c r="AM32" i="29"/>
  <c r="AL32" i="29"/>
  <c r="AK32" i="29"/>
  <c r="AI32" i="29"/>
  <c r="Q32" i="29"/>
  <c r="P32" i="29"/>
  <c r="M32" i="29"/>
  <c r="L32" i="29"/>
  <c r="K32" i="29"/>
  <c r="J32" i="29"/>
  <c r="I32" i="29"/>
  <c r="H32" i="29"/>
  <c r="A32" i="29" s="1"/>
  <c r="D32" i="29"/>
  <c r="AT52" i="29"/>
  <c r="AR52" i="29"/>
  <c r="AQ52" i="29"/>
  <c r="AP52" i="29"/>
  <c r="AO52" i="29"/>
  <c r="AN52" i="29"/>
  <c r="AM52" i="29"/>
  <c r="AL52" i="29"/>
  <c r="AK52" i="29"/>
  <c r="AI52" i="29"/>
  <c r="Q52" i="29"/>
  <c r="P52" i="29"/>
  <c r="M52" i="29"/>
  <c r="L52" i="29"/>
  <c r="K52" i="29"/>
  <c r="J52" i="29"/>
  <c r="I52" i="29"/>
  <c r="H52" i="29"/>
  <c r="A52" i="29" s="1"/>
  <c r="D52" i="29"/>
  <c r="AT36" i="29"/>
  <c r="AR36" i="29"/>
  <c r="AQ36" i="29"/>
  <c r="AP36" i="29"/>
  <c r="AO36" i="29"/>
  <c r="AN36" i="29"/>
  <c r="AM36" i="29"/>
  <c r="AL36" i="29"/>
  <c r="AK36" i="29"/>
  <c r="AI36" i="29"/>
  <c r="Q36" i="29"/>
  <c r="P36" i="29"/>
  <c r="M36" i="29"/>
  <c r="L36" i="29"/>
  <c r="K36" i="29"/>
  <c r="J36" i="29"/>
  <c r="I36" i="29"/>
  <c r="H36" i="29"/>
  <c r="A36" i="29" s="1"/>
  <c r="D36" i="29"/>
  <c r="AT27" i="29"/>
  <c r="AR27" i="29"/>
  <c r="AQ27" i="29"/>
  <c r="AP27" i="29"/>
  <c r="AO27" i="29"/>
  <c r="AN27" i="29"/>
  <c r="AM27" i="29"/>
  <c r="AL27" i="29"/>
  <c r="AK27" i="29"/>
  <c r="AI27" i="29"/>
  <c r="Q27" i="29"/>
  <c r="P27" i="29"/>
  <c r="M27" i="29"/>
  <c r="L27" i="29"/>
  <c r="K27" i="29"/>
  <c r="J27" i="29"/>
  <c r="I27" i="29"/>
  <c r="H27" i="29"/>
  <c r="A27" i="29" s="1"/>
  <c r="D27" i="29"/>
  <c r="AT61" i="29"/>
  <c r="AR61" i="29"/>
  <c r="AQ61" i="29"/>
  <c r="AP61" i="29"/>
  <c r="AO61" i="29"/>
  <c r="AN61" i="29"/>
  <c r="AM61" i="29"/>
  <c r="AL61" i="29"/>
  <c r="AK61" i="29"/>
  <c r="AI61" i="29"/>
  <c r="Q61" i="29"/>
  <c r="P61" i="29"/>
  <c r="M61" i="29"/>
  <c r="L61" i="29"/>
  <c r="K61" i="29"/>
  <c r="J61" i="29"/>
  <c r="I61" i="29"/>
  <c r="H61" i="29"/>
  <c r="A61" i="29" s="1"/>
  <c r="D61" i="29"/>
  <c r="AT33" i="29"/>
  <c r="AR33" i="29"/>
  <c r="AQ33" i="29"/>
  <c r="AP33" i="29"/>
  <c r="AO33" i="29"/>
  <c r="AN33" i="29"/>
  <c r="AM33" i="29"/>
  <c r="AL33" i="29"/>
  <c r="AK33" i="29"/>
  <c r="AI33" i="29"/>
  <c r="Q33" i="29"/>
  <c r="P33" i="29"/>
  <c r="M33" i="29"/>
  <c r="L33" i="29"/>
  <c r="K33" i="29"/>
  <c r="J33" i="29"/>
  <c r="I33" i="29"/>
  <c r="H33" i="29"/>
  <c r="A33" i="29" s="1"/>
  <c r="D33" i="29"/>
  <c r="AT20" i="29"/>
  <c r="AR20" i="29"/>
  <c r="AQ20" i="29"/>
  <c r="AP20" i="29"/>
  <c r="AO20" i="29"/>
  <c r="AN20" i="29"/>
  <c r="AM20" i="29"/>
  <c r="AL20" i="29"/>
  <c r="AK20" i="29"/>
  <c r="AI20" i="29"/>
  <c r="Q20" i="29"/>
  <c r="P20" i="29"/>
  <c r="O20" i="29" s="1"/>
  <c r="M20" i="29"/>
  <c r="L20" i="29"/>
  <c r="K20" i="29"/>
  <c r="J20" i="29"/>
  <c r="I20" i="29"/>
  <c r="H20" i="29"/>
  <c r="A20" i="29" s="1"/>
  <c r="D20" i="29"/>
  <c r="AT42" i="29"/>
  <c r="AR42" i="29"/>
  <c r="AQ42" i="29"/>
  <c r="AP42" i="29"/>
  <c r="AO42" i="29"/>
  <c r="AN42" i="29"/>
  <c r="AM42" i="29"/>
  <c r="AL42" i="29"/>
  <c r="AK42" i="29"/>
  <c r="AI42" i="29"/>
  <c r="Q42" i="29"/>
  <c r="P42" i="29"/>
  <c r="M42" i="29"/>
  <c r="L42" i="29"/>
  <c r="K42" i="29"/>
  <c r="J42" i="29"/>
  <c r="I42" i="29"/>
  <c r="H42" i="29"/>
  <c r="A42" i="29" s="1"/>
  <c r="D42" i="29"/>
  <c r="AT29" i="29"/>
  <c r="AR29" i="29"/>
  <c r="AQ29" i="29"/>
  <c r="AP29" i="29"/>
  <c r="AO29" i="29"/>
  <c r="AN29" i="29"/>
  <c r="AM29" i="29"/>
  <c r="AL29" i="29"/>
  <c r="AK29" i="29"/>
  <c r="AI29" i="29"/>
  <c r="Q29" i="29"/>
  <c r="P29" i="29"/>
  <c r="M29" i="29"/>
  <c r="L29" i="29"/>
  <c r="K29" i="29"/>
  <c r="J29" i="29"/>
  <c r="I29" i="29"/>
  <c r="H29" i="29"/>
  <c r="A29" i="29" s="1"/>
  <c r="D29" i="29"/>
  <c r="AT19" i="29"/>
  <c r="AR19" i="29"/>
  <c r="AQ19" i="29"/>
  <c r="AP19" i="29"/>
  <c r="AO19" i="29"/>
  <c r="AN19" i="29"/>
  <c r="AM19" i="29"/>
  <c r="AL19" i="29"/>
  <c r="AK19" i="29"/>
  <c r="AI19" i="29"/>
  <c r="Q19" i="29"/>
  <c r="P19" i="29"/>
  <c r="M19" i="29"/>
  <c r="L19" i="29"/>
  <c r="K19" i="29"/>
  <c r="J19" i="29"/>
  <c r="I19" i="29"/>
  <c r="H19" i="29"/>
  <c r="A19" i="29" s="1"/>
  <c r="D19" i="29"/>
  <c r="AT47" i="29"/>
  <c r="AR47" i="29"/>
  <c r="AQ47" i="29"/>
  <c r="AP47" i="29"/>
  <c r="AO47" i="29"/>
  <c r="AN47" i="29"/>
  <c r="AM47" i="29"/>
  <c r="AL47" i="29"/>
  <c r="AK47" i="29"/>
  <c r="AI47" i="29"/>
  <c r="Q47" i="29"/>
  <c r="P47" i="29"/>
  <c r="M47" i="29"/>
  <c r="L47" i="29"/>
  <c r="K47" i="29"/>
  <c r="J47" i="29"/>
  <c r="I47" i="29"/>
  <c r="H47" i="29"/>
  <c r="A47" i="29" s="1"/>
  <c r="D47" i="29"/>
  <c r="AT21" i="29"/>
  <c r="AR21" i="29"/>
  <c r="AQ21" i="29"/>
  <c r="AP21" i="29"/>
  <c r="AO21" i="29"/>
  <c r="AN21" i="29"/>
  <c r="AM21" i="29"/>
  <c r="AL21" i="29"/>
  <c r="AK21" i="29"/>
  <c r="AI21" i="29"/>
  <c r="Q21" i="29"/>
  <c r="P21" i="29"/>
  <c r="O21" i="29" s="1"/>
  <c r="M21" i="29"/>
  <c r="L21" i="29"/>
  <c r="K21" i="29"/>
  <c r="J21" i="29"/>
  <c r="I21" i="29"/>
  <c r="H21" i="29"/>
  <c r="A21" i="29" s="1"/>
  <c r="D21" i="29"/>
  <c r="AT28" i="29"/>
  <c r="AR28" i="29"/>
  <c r="AQ28" i="29"/>
  <c r="AP28" i="29"/>
  <c r="AO28" i="29"/>
  <c r="AN28" i="29"/>
  <c r="AM28" i="29"/>
  <c r="AL28" i="29"/>
  <c r="AK28" i="29"/>
  <c r="AI28" i="29"/>
  <c r="Q28" i="29"/>
  <c r="P28" i="29"/>
  <c r="M28" i="29"/>
  <c r="L28" i="29"/>
  <c r="K28" i="29"/>
  <c r="J28" i="29"/>
  <c r="I28" i="29"/>
  <c r="H28" i="29"/>
  <c r="A28" i="29" s="1"/>
  <c r="D28" i="29"/>
  <c r="AT35" i="29"/>
  <c r="AR35" i="29"/>
  <c r="AQ35" i="29"/>
  <c r="AP35" i="29"/>
  <c r="AO35" i="29"/>
  <c r="AN35" i="29"/>
  <c r="AM35" i="29"/>
  <c r="AL35" i="29"/>
  <c r="AK35" i="29"/>
  <c r="AI35" i="29"/>
  <c r="Q35" i="29"/>
  <c r="P35" i="29"/>
  <c r="M35" i="29"/>
  <c r="L35" i="29"/>
  <c r="K35" i="29"/>
  <c r="J35" i="29"/>
  <c r="I35" i="29"/>
  <c r="H35" i="29"/>
  <c r="A35" i="29" s="1"/>
  <c r="D35" i="29"/>
  <c r="AT43" i="29"/>
  <c r="AR43" i="29"/>
  <c r="AQ43" i="29"/>
  <c r="AP43" i="29"/>
  <c r="AO43" i="29"/>
  <c r="AN43" i="29"/>
  <c r="AM43" i="29"/>
  <c r="AL43" i="29"/>
  <c r="AK43" i="29"/>
  <c r="AI43" i="29"/>
  <c r="Q43" i="29"/>
  <c r="P43" i="29"/>
  <c r="M43" i="29"/>
  <c r="L43" i="29"/>
  <c r="K43" i="29"/>
  <c r="J43" i="29"/>
  <c r="I43" i="29"/>
  <c r="H43" i="29"/>
  <c r="A43" i="29" s="1"/>
  <c r="D43" i="29"/>
  <c r="AT25" i="29"/>
  <c r="AR25" i="29"/>
  <c r="AQ25" i="29"/>
  <c r="AP25" i="29"/>
  <c r="AO25" i="29"/>
  <c r="AN25" i="29"/>
  <c r="AM25" i="29"/>
  <c r="AL25" i="29"/>
  <c r="AK25" i="29"/>
  <c r="AI25" i="29"/>
  <c r="Q25" i="29"/>
  <c r="P25" i="29"/>
  <c r="M25" i="29"/>
  <c r="L25" i="29"/>
  <c r="K25" i="29"/>
  <c r="J25" i="29"/>
  <c r="I25" i="29"/>
  <c r="H25" i="29"/>
  <c r="A25" i="29" s="1"/>
  <c r="D25" i="29"/>
  <c r="AT17" i="29"/>
  <c r="AR17" i="29"/>
  <c r="AQ17" i="29"/>
  <c r="AP17" i="29"/>
  <c r="AO17" i="29"/>
  <c r="AN17" i="29"/>
  <c r="AM17" i="29"/>
  <c r="AL17" i="29"/>
  <c r="AK17" i="29"/>
  <c r="AI17" i="29"/>
  <c r="Q17" i="29"/>
  <c r="P17" i="29"/>
  <c r="M17" i="29"/>
  <c r="L17" i="29"/>
  <c r="K17" i="29"/>
  <c r="J17" i="29"/>
  <c r="I17" i="29"/>
  <c r="H17" i="29"/>
  <c r="A17" i="29" s="1"/>
  <c r="D17" i="29"/>
  <c r="AT30" i="29"/>
  <c r="AR30" i="29"/>
  <c r="AQ30" i="29"/>
  <c r="AP30" i="29"/>
  <c r="AO30" i="29"/>
  <c r="AN30" i="29"/>
  <c r="AM30" i="29"/>
  <c r="AL30" i="29"/>
  <c r="AK30" i="29"/>
  <c r="AI30" i="29"/>
  <c r="Q30" i="29"/>
  <c r="P30" i="29"/>
  <c r="M30" i="29"/>
  <c r="L30" i="29"/>
  <c r="K30" i="29"/>
  <c r="J30" i="29"/>
  <c r="I30" i="29"/>
  <c r="H30" i="29"/>
  <c r="A30" i="29" s="1"/>
  <c r="D30" i="29"/>
  <c r="AT49" i="29"/>
  <c r="AR49" i="29"/>
  <c r="AQ49" i="29"/>
  <c r="AP49" i="29"/>
  <c r="AO49" i="29"/>
  <c r="AN49" i="29"/>
  <c r="AM49" i="29"/>
  <c r="AL49" i="29"/>
  <c r="AK49" i="29"/>
  <c r="AI49" i="29"/>
  <c r="Q49" i="29"/>
  <c r="P49" i="29"/>
  <c r="M49" i="29"/>
  <c r="L49" i="29"/>
  <c r="K49" i="29"/>
  <c r="J49" i="29"/>
  <c r="I49" i="29"/>
  <c r="H49" i="29"/>
  <c r="A49" i="29" s="1"/>
  <c r="D49" i="29"/>
  <c r="AT45" i="29"/>
  <c r="AR45" i="29"/>
  <c r="AQ45" i="29"/>
  <c r="AP45" i="29"/>
  <c r="AO45" i="29"/>
  <c r="AN45" i="29"/>
  <c r="AM45" i="29"/>
  <c r="AL45" i="29"/>
  <c r="AK45" i="29"/>
  <c r="AI45" i="29"/>
  <c r="Q45" i="29"/>
  <c r="P45" i="29"/>
  <c r="M45" i="29"/>
  <c r="L45" i="29"/>
  <c r="K45" i="29"/>
  <c r="J45" i="29"/>
  <c r="I45" i="29"/>
  <c r="H45" i="29"/>
  <c r="A45" i="29" s="1"/>
  <c r="D45" i="29"/>
  <c r="AT51" i="29"/>
  <c r="AR51" i="29"/>
  <c r="AQ51" i="29"/>
  <c r="AP51" i="29"/>
  <c r="AO51" i="29"/>
  <c r="AN51" i="29"/>
  <c r="AM51" i="29"/>
  <c r="AL51" i="29"/>
  <c r="AK51" i="29"/>
  <c r="AI51" i="29"/>
  <c r="Q51" i="29"/>
  <c r="P51" i="29"/>
  <c r="M51" i="29"/>
  <c r="L51" i="29"/>
  <c r="K51" i="29"/>
  <c r="J51" i="29"/>
  <c r="I51" i="29"/>
  <c r="H51" i="29"/>
  <c r="A51" i="29" s="1"/>
  <c r="D51" i="29"/>
  <c r="AT22" i="29"/>
  <c r="AR22" i="29"/>
  <c r="AQ22" i="29"/>
  <c r="AP22" i="29"/>
  <c r="AO22" i="29"/>
  <c r="AN22" i="29"/>
  <c r="AM22" i="29"/>
  <c r="AL22" i="29"/>
  <c r="AK22" i="29"/>
  <c r="AI22" i="29"/>
  <c r="Q22" i="29"/>
  <c r="P22" i="29"/>
  <c r="M22" i="29"/>
  <c r="L22" i="29"/>
  <c r="K22" i="29"/>
  <c r="J22" i="29"/>
  <c r="I22" i="29"/>
  <c r="H22" i="29"/>
  <c r="A22" i="29" s="1"/>
  <c r="D22" i="29"/>
  <c r="AT31" i="29"/>
  <c r="AR31" i="29"/>
  <c r="AQ31" i="29"/>
  <c r="AP31" i="29"/>
  <c r="AO31" i="29"/>
  <c r="AN31" i="29"/>
  <c r="AM31" i="29"/>
  <c r="AL31" i="29"/>
  <c r="AK31" i="29"/>
  <c r="AI31" i="29"/>
  <c r="Q31" i="29"/>
  <c r="P31" i="29"/>
  <c r="O31" i="29"/>
  <c r="M31" i="29"/>
  <c r="L31" i="29"/>
  <c r="K31" i="29"/>
  <c r="J31" i="29"/>
  <c r="I31" i="29"/>
  <c r="H31" i="29"/>
  <c r="A31" i="29" s="1"/>
  <c r="D31" i="29"/>
  <c r="AT46" i="29"/>
  <c r="AR46" i="29"/>
  <c r="AQ46" i="29"/>
  <c r="AP46" i="29"/>
  <c r="AO46" i="29"/>
  <c r="AN46" i="29"/>
  <c r="AM46" i="29"/>
  <c r="AL46" i="29"/>
  <c r="AK46" i="29"/>
  <c r="AI46" i="29"/>
  <c r="Q46" i="29"/>
  <c r="P46" i="29"/>
  <c r="M46" i="29"/>
  <c r="L46" i="29"/>
  <c r="K46" i="29"/>
  <c r="J46" i="29"/>
  <c r="I46" i="29"/>
  <c r="H46" i="29"/>
  <c r="A46" i="29" s="1"/>
  <c r="D46" i="29"/>
  <c r="AT24" i="29"/>
  <c r="AR24" i="29"/>
  <c r="AQ24" i="29"/>
  <c r="AP24" i="29"/>
  <c r="AO24" i="29"/>
  <c r="AN24" i="29"/>
  <c r="AM24" i="29"/>
  <c r="AL24" i="29"/>
  <c r="AK24" i="29"/>
  <c r="AI24" i="29"/>
  <c r="Q24" i="29"/>
  <c r="P24" i="29"/>
  <c r="M24" i="29"/>
  <c r="L24" i="29"/>
  <c r="K24" i="29"/>
  <c r="J24" i="29"/>
  <c r="I24" i="29"/>
  <c r="H24" i="29"/>
  <c r="A24" i="29" s="1"/>
  <c r="D24" i="29"/>
  <c r="AT16" i="29"/>
  <c r="AR16" i="29"/>
  <c r="AQ16" i="29"/>
  <c r="AP16" i="29"/>
  <c r="AO16" i="29"/>
  <c r="AN16" i="29"/>
  <c r="AM16" i="29"/>
  <c r="AL16" i="29"/>
  <c r="AK16" i="29"/>
  <c r="AI16" i="29"/>
  <c r="Q16" i="29"/>
  <c r="P16" i="29"/>
  <c r="M16" i="29"/>
  <c r="L16" i="29"/>
  <c r="K16" i="29"/>
  <c r="J16" i="29"/>
  <c r="I16" i="29"/>
  <c r="H16" i="29"/>
  <c r="A16" i="29" s="1"/>
  <c r="D16" i="29"/>
  <c r="AT6" i="29"/>
  <c r="AR6" i="29"/>
  <c r="AQ6" i="29"/>
  <c r="AP6" i="29"/>
  <c r="AO6" i="29"/>
  <c r="AN6" i="29"/>
  <c r="AM6" i="29"/>
  <c r="AL6" i="29"/>
  <c r="AK6" i="29"/>
  <c r="AH6" i="29"/>
  <c r="AI6" i="29" s="1"/>
  <c r="M6" i="29"/>
  <c r="L6" i="29"/>
  <c r="K6" i="29"/>
  <c r="J6" i="29"/>
  <c r="I6" i="29"/>
  <c r="AT5" i="29"/>
  <c r="AR5" i="29"/>
  <c r="AQ5" i="29"/>
  <c r="AP5" i="29"/>
  <c r="AO5" i="29"/>
  <c r="AN5" i="29"/>
  <c r="AM5" i="29"/>
  <c r="AL5" i="29"/>
  <c r="AK5" i="29"/>
  <c r="AH5" i="29"/>
  <c r="AI5" i="29" s="1"/>
  <c r="M5" i="29"/>
  <c r="L5" i="29"/>
  <c r="K5" i="29"/>
  <c r="J5" i="29"/>
  <c r="I5" i="29"/>
  <c r="AT4" i="29"/>
  <c r="AR4" i="29"/>
  <c r="AQ4" i="29"/>
  <c r="AP4" i="29"/>
  <c r="AO4" i="29"/>
  <c r="AM4" i="29"/>
  <c r="AL4" i="29"/>
  <c r="AK4" i="29"/>
  <c r="AH4" i="29"/>
  <c r="AI4" i="29" s="1"/>
  <c r="M4" i="29"/>
  <c r="L4" i="29"/>
  <c r="K4" i="29"/>
  <c r="J4" i="29"/>
  <c r="I4" i="29"/>
  <c r="AT3" i="29"/>
  <c r="AR3" i="29"/>
  <c r="AQ3" i="29"/>
  <c r="AP3" i="29"/>
  <c r="AO3" i="29"/>
  <c r="AN3" i="29"/>
  <c r="AM3" i="29"/>
  <c r="AL3" i="29"/>
  <c r="AH3" i="29"/>
  <c r="AI3" i="29" s="1"/>
  <c r="M3" i="29"/>
  <c r="L3" i="29"/>
  <c r="K3" i="29"/>
  <c r="J3" i="29"/>
  <c r="I3" i="29"/>
  <c r="M2" i="29"/>
  <c r="F2" i="29"/>
  <c r="E2" i="29"/>
  <c r="Q2" i="29" s="1"/>
  <c r="D2" i="29"/>
  <c r="O3" i="29" s="1"/>
  <c r="R3" i="29" l="1"/>
  <c r="AP14" i="29"/>
  <c r="AH14" i="29"/>
  <c r="AI14" i="29" s="1"/>
  <c r="AN13" i="29"/>
  <c r="AR12" i="29"/>
  <c r="AL12" i="29"/>
  <c r="AP11" i="29"/>
  <c r="AH11" i="29"/>
  <c r="AI11" i="29" s="1"/>
  <c r="AN10" i="29"/>
  <c r="AR9" i="29"/>
  <c r="AL9" i="29"/>
  <c r="AP8" i="29"/>
  <c r="AH8" i="29"/>
  <c r="AI8" i="29" s="1"/>
  <c r="Q12" i="29"/>
  <c r="Q9" i="29"/>
  <c r="K14" i="29"/>
  <c r="K13" i="29"/>
  <c r="K12" i="29"/>
  <c r="K11" i="29"/>
  <c r="K10" i="29"/>
  <c r="K9" i="29"/>
  <c r="K8" i="29"/>
  <c r="AR13" i="29"/>
  <c r="AP12" i="29"/>
  <c r="AN11" i="29"/>
  <c r="AR10" i="29"/>
  <c r="AP9" i="29"/>
  <c r="AN8" i="29"/>
  <c r="Q11" i="29"/>
  <c r="I14" i="29"/>
  <c r="I12" i="29"/>
  <c r="I10" i="29"/>
  <c r="I8" i="29"/>
  <c r="AL11" i="29"/>
  <c r="AN9" i="29"/>
  <c r="Q13" i="29"/>
  <c r="M13" i="29"/>
  <c r="M10" i="29"/>
  <c r="AO13" i="29"/>
  <c r="AQ11" i="29"/>
  <c r="AO10" i="29"/>
  <c r="AM9" i="29"/>
  <c r="O13" i="29"/>
  <c r="L14" i="29"/>
  <c r="L11" i="29"/>
  <c r="L8" i="29"/>
  <c r="AO14" i="29"/>
  <c r="AT13" i="29"/>
  <c r="AM13" i="29"/>
  <c r="AQ12" i="29"/>
  <c r="AK12" i="29"/>
  <c r="AO11" i="29"/>
  <c r="AT10" i="29"/>
  <c r="AM10" i="29"/>
  <c r="AQ9" i="29"/>
  <c r="AK9" i="29"/>
  <c r="AO8" i="29"/>
  <c r="O9" i="29"/>
  <c r="R9" i="29" s="1"/>
  <c r="O12" i="29"/>
  <c r="R12" i="29" s="1"/>
  <c r="J14" i="29"/>
  <c r="J13" i="29"/>
  <c r="J12" i="29"/>
  <c r="J11" i="29"/>
  <c r="J10" i="29"/>
  <c r="J9" i="29"/>
  <c r="J8" i="29"/>
  <c r="AN14" i="29"/>
  <c r="AL13" i="29"/>
  <c r="AH12" i="29"/>
  <c r="AI12" i="29" s="1"/>
  <c r="AL10" i="29"/>
  <c r="AH9" i="29"/>
  <c r="AI9" i="29" s="1"/>
  <c r="Q14" i="29"/>
  <c r="Q8" i="29"/>
  <c r="I13" i="29"/>
  <c r="I11" i="29"/>
  <c r="I9" i="29"/>
  <c r="AN12" i="29"/>
  <c r="AH10" i="29"/>
  <c r="AI10" i="29" s="1"/>
  <c r="AL8" i="29"/>
  <c r="M14" i="29"/>
  <c r="M11" i="29"/>
  <c r="M8" i="29"/>
  <c r="AK8" i="29"/>
  <c r="L12" i="29"/>
  <c r="L9" i="29"/>
  <c r="AT14" i="29"/>
  <c r="AM14" i="29"/>
  <c r="AQ13" i="29"/>
  <c r="AK13" i="29"/>
  <c r="AO12" i="29"/>
  <c r="AT11" i="29"/>
  <c r="AM11" i="29"/>
  <c r="AQ10" i="29"/>
  <c r="AK10" i="29"/>
  <c r="AO9" i="29"/>
  <c r="AT8" i="29"/>
  <c r="AM8" i="29"/>
  <c r="O14" i="29"/>
  <c r="O11" i="29"/>
  <c r="O8" i="29"/>
  <c r="R8" i="29" s="1"/>
  <c r="H14" i="29"/>
  <c r="H13" i="29"/>
  <c r="H12" i="29"/>
  <c r="H11" i="29"/>
  <c r="H10" i="29"/>
  <c r="H9" i="29"/>
  <c r="H8" i="29"/>
  <c r="AR14" i="29"/>
  <c r="AL14" i="29"/>
  <c r="AP13" i="29"/>
  <c r="AH13" i="29"/>
  <c r="AI13" i="29" s="1"/>
  <c r="AR11" i="29"/>
  <c r="AP10" i="29"/>
  <c r="AR8" i="29"/>
  <c r="Q10" i="29"/>
  <c r="M12" i="29"/>
  <c r="M9" i="29"/>
  <c r="AQ14" i="29"/>
  <c r="AK14" i="29"/>
  <c r="AT12" i="29"/>
  <c r="AM12" i="29"/>
  <c r="AK11" i="29"/>
  <c r="AT9" i="29"/>
  <c r="AQ8" i="29"/>
  <c r="O10" i="29"/>
  <c r="R10" i="29" s="1"/>
  <c r="L13" i="29"/>
  <c r="L10" i="29"/>
  <c r="AT2" i="29"/>
  <c r="R41" i="29"/>
  <c r="R6" i="29"/>
  <c r="R5" i="29"/>
  <c r="R4" i="29"/>
  <c r="O58" i="29"/>
  <c r="R58" i="29" s="1"/>
  <c r="O59" i="29"/>
  <c r="R59" i="29" s="1"/>
  <c r="O55" i="29"/>
  <c r="R55" i="29" s="1"/>
  <c r="O60" i="29"/>
  <c r="R60" i="29" s="1"/>
  <c r="O63" i="29"/>
  <c r="R63" i="29" s="1"/>
  <c r="O64" i="29"/>
  <c r="R64" i="29" s="1"/>
  <c r="O56" i="29"/>
  <c r="R56" i="29" s="1"/>
  <c r="O62" i="29"/>
  <c r="R62" i="29" s="1"/>
  <c r="O38" i="29"/>
  <c r="R38" i="29" s="1"/>
  <c r="O48" i="29"/>
  <c r="R48" i="29" s="1"/>
  <c r="O50" i="29"/>
  <c r="R50" i="29" s="1"/>
  <c r="O26" i="29"/>
  <c r="R26" i="29" s="1"/>
  <c r="R18" i="29"/>
  <c r="O34" i="29"/>
  <c r="R34" i="29" s="1"/>
  <c r="O37" i="29"/>
  <c r="R37" i="29" s="1"/>
  <c r="O57" i="29"/>
  <c r="R57" i="29" s="1"/>
  <c r="O44" i="29"/>
  <c r="R44" i="29" s="1"/>
  <c r="O53" i="29"/>
  <c r="R53" i="29" s="1"/>
  <c r="O39" i="29"/>
  <c r="R39" i="29" s="1"/>
  <c r="O32" i="29"/>
  <c r="R32" i="29" s="1"/>
  <c r="O52" i="29"/>
  <c r="R52" i="29" s="1"/>
  <c r="O36" i="29"/>
  <c r="R36" i="29" s="1"/>
  <c r="O27" i="29"/>
  <c r="R27" i="29" s="1"/>
  <c r="O61" i="29"/>
  <c r="R61" i="29" s="1"/>
  <c r="O33" i="29"/>
  <c r="R33" i="29" s="1"/>
  <c r="R20" i="29"/>
  <c r="O42" i="29"/>
  <c r="R42" i="29" s="1"/>
  <c r="O29" i="29"/>
  <c r="R29" i="29" s="1"/>
  <c r="O19" i="29"/>
  <c r="R19" i="29" s="1"/>
  <c r="O47" i="29"/>
  <c r="R47" i="29" s="1"/>
  <c r="R21" i="29"/>
  <c r="O28" i="29"/>
  <c r="R28" i="29" s="1"/>
  <c r="O35" i="29"/>
  <c r="R35" i="29" s="1"/>
  <c r="O43" i="29"/>
  <c r="R43" i="29" s="1"/>
  <c r="O25" i="29"/>
  <c r="R25" i="29" s="1"/>
  <c r="O17" i="29"/>
  <c r="R17" i="29" s="1"/>
  <c r="H3" i="29"/>
  <c r="B3" i="29" s="1"/>
  <c r="O30" i="29"/>
  <c r="R30" i="29" s="1"/>
  <c r="O49" i="29"/>
  <c r="R49" i="29" s="1"/>
  <c r="O45" i="29"/>
  <c r="R45" i="29" s="1"/>
  <c r="O51" i="29"/>
  <c r="R51" i="29" s="1"/>
  <c r="O22" i="29"/>
  <c r="R22" i="29" s="1"/>
  <c r="H5" i="29"/>
  <c r="B5" i="29" s="1"/>
  <c r="R31" i="29"/>
  <c r="O46" i="29"/>
  <c r="R46" i="29" s="1"/>
  <c r="O24" i="29"/>
  <c r="R24" i="29" s="1"/>
  <c r="AH2" i="29"/>
  <c r="AI2" i="29" s="1"/>
  <c r="O16" i="29"/>
  <c r="R16" i="29" s="1"/>
  <c r="H2" i="29"/>
  <c r="B2" i="29" s="1"/>
  <c r="H4" i="29"/>
  <c r="B4" i="29" s="1"/>
  <c r="H6" i="29"/>
  <c r="B6" i="29" s="1"/>
  <c r="O2" i="29"/>
  <c r="R2" i="29" s="1"/>
  <c r="R11" i="29" l="1"/>
  <c r="R14" i="29"/>
  <c r="R13" i="29"/>
  <c r="B12" i="29"/>
  <c r="B9" i="29"/>
  <c r="B13" i="29"/>
  <c r="B11" i="29"/>
  <c r="B10" i="29"/>
  <c r="B14" i="29"/>
  <c r="B8" i="29"/>
  <c r="G5" i="71" l="1"/>
  <c r="E5" i="71"/>
  <c r="E2" i="71"/>
  <c r="G2" i="71"/>
  <c r="F5" i="71"/>
  <c r="H5" i="71"/>
  <c r="F2" i="71"/>
  <c r="H2" i="71"/>
  <c r="F4" i="71"/>
  <c r="H4" i="71"/>
  <c r="E3" i="71"/>
  <c r="G3" i="71"/>
  <c r="E4" i="71"/>
  <c r="E6" i="71"/>
  <c r="G6" i="71"/>
  <c r="H3" i="71"/>
  <c r="H6" i="71"/>
  <c r="F3" i="71"/>
  <c r="F6" i="71"/>
  <c r="D3" i="71" l="1"/>
  <c r="D2" i="71"/>
  <c r="D5" i="71"/>
  <c r="D6" i="71"/>
  <c r="D4" i="7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Chrismus Time</author>
  </authors>
  <commentList>
    <comment ref="A15" authorId="0" shapeId="0" xr:uid="{0E1ADC02-B13B-4DE2-B366-5C7A92A1E867}">
      <text>
        <r>
          <rPr>
            <sz val="9"/>
            <color indexed="81"/>
            <rFont val="Tahoma"/>
            <family val="2"/>
          </rPr>
          <t xml:space="preserve">You need 50 games to start accurately scoring; all champions under 50 games played have severely penalized scores.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Chrismus Time</author>
  </authors>
  <commentList>
    <comment ref="A15" authorId="0" shapeId="0" xr:uid="{A291DF06-D1EB-4BC5-9DEE-F503F8F9633B}">
      <text>
        <r>
          <rPr>
            <sz val="9"/>
            <color indexed="81"/>
            <rFont val="Tahoma"/>
            <family val="2"/>
          </rPr>
          <t xml:space="preserve">You need 50 games to start accurately scoring; all champions under 50 games played have severely penalized scores.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Chrismus Time</author>
  </authors>
  <commentList>
    <comment ref="A15" authorId="0" shapeId="0" xr:uid="{53E338C1-264A-4863-82B8-3B57A7A6826C}">
      <text>
        <r>
          <rPr>
            <sz val="9"/>
            <color indexed="81"/>
            <rFont val="Tahoma"/>
            <family val="2"/>
          </rPr>
          <t xml:space="preserve">You need 50 games to start accurately scoring; all champions under 50 games played have severely penalized scores.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Chrismus Time</author>
  </authors>
  <commentList>
    <comment ref="A15" authorId="0" shapeId="0" xr:uid="{2A407BFD-CB19-44D7-9C02-93891FC61DB3}">
      <text>
        <r>
          <rPr>
            <sz val="9"/>
            <color indexed="81"/>
            <rFont val="Tahoma"/>
            <family val="2"/>
          </rPr>
          <t xml:space="preserve">You need 50 games to start accurately scoring; all champions under 50 games played have severely penalized scores.
</t>
        </r>
      </text>
    </comment>
  </commentList>
</comments>
</file>

<file path=xl/sharedStrings.xml><?xml version="1.0" encoding="utf-8"?>
<sst xmlns="http://schemas.openxmlformats.org/spreadsheetml/2006/main" count="1258" uniqueCount="240">
  <si>
    <t>Fernando</t>
  </si>
  <si>
    <t>Makoa</t>
  </si>
  <si>
    <t>Inara</t>
  </si>
  <si>
    <t>Ruckus</t>
  </si>
  <si>
    <t>Cassie</t>
  </si>
  <si>
    <t>Barik</t>
  </si>
  <si>
    <t>Viktor</t>
  </si>
  <si>
    <t>Seris</t>
  </si>
  <si>
    <t>Torvald</t>
  </si>
  <si>
    <t>Buck</t>
  </si>
  <si>
    <t>Ash</t>
  </si>
  <si>
    <t>Ying</t>
  </si>
  <si>
    <t>Jenos</t>
  </si>
  <si>
    <t>Evie</t>
  </si>
  <si>
    <t>Grover</t>
  </si>
  <si>
    <t>Khan</t>
  </si>
  <si>
    <t>Kinessa</t>
  </si>
  <si>
    <t>Grohk</t>
  </si>
  <si>
    <t>Terminus</t>
  </si>
  <si>
    <t>Strix</t>
  </si>
  <si>
    <t>Maeve</t>
  </si>
  <si>
    <t>Pip</t>
  </si>
  <si>
    <t>Willo</t>
  </si>
  <si>
    <t>Furia</t>
  </si>
  <si>
    <t>Bomb King</t>
  </si>
  <si>
    <t>Lian</t>
  </si>
  <si>
    <t>Drogoz</t>
  </si>
  <si>
    <t>Vivian</t>
  </si>
  <si>
    <t>Zhin</t>
  </si>
  <si>
    <t>Skye</t>
  </si>
  <si>
    <t>Lex</t>
  </si>
  <si>
    <t>Tyra</t>
  </si>
  <si>
    <t>Dredge</t>
  </si>
  <si>
    <t>Moji</t>
  </si>
  <si>
    <t>Koga</t>
  </si>
  <si>
    <t>Talus</t>
  </si>
  <si>
    <t>Sha Lin</t>
  </si>
  <si>
    <t>Frontline</t>
  </si>
  <si>
    <t>Damage</t>
  </si>
  <si>
    <t>Flank</t>
  </si>
  <si>
    <t>Support</t>
  </si>
  <si>
    <t>Wins</t>
  </si>
  <si>
    <t>Losses</t>
  </si>
  <si>
    <t>Kills</t>
  </si>
  <si>
    <t>Deaths</t>
  </si>
  <si>
    <t>Assists</t>
  </si>
  <si>
    <t>KDA</t>
  </si>
  <si>
    <t>Imani</t>
  </si>
  <si>
    <t>Atlas</t>
  </si>
  <si>
    <t>Io</t>
  </si>
  <si>
    <t>Androxus</t>
  </si>
  <si>
    <t>Corvus</t>
  </si>
  <si>
    <t>Mal'Damba</t>
  </si>
  <si>
    <t>Raum</t>
  </si>
  <si>
    <t>Tiberius</t>
  </si>
  <si>
    <t>Role</t>
  </si>
  <si>
    <t>Target KDA</t>
  </si>
  <si>
    <t>W Left</t>
  </si>
  <si>
    <t>K Left</t>
  </si>
  <si>
    <t>Games</t>
  </si>
  <si>
    <t>Score</t>
  </si>
  <si>
    <t>WR</t>
  </si>
  <si>
    <t>Charge</t>
  </si>
  <si>
    <t>Repeater</t>
  </si>
  <si>
    <t>Hitscan</t>
  </si>
  <si>
    <t>Projectile</t>
  </si>
  <si>
    <t>Arc</t>
  </si>
  <si>
    <t>Melee</t>
  </si>
  <si>
    <t>Aim Type</t>
  </si>
  <si>
    <t>Aim Class</t>
  </si>
  <si>
    <t>K/W Left</t>
  </si>
  <si>
    <t>CPM</t>
  </si>
  <si>
    <t>Credits</t>
  </si>
  <si>
    <t>Playtime</t>
  </si>
  <si>
    <t>K/M</t>
  </si>
  <si>
    <t>D/M</t>
  </si>
  <si>
    <t>A/M</t>
  </si>
  <si>
    <t>Champ</t>
  </si>
  <si>
    <t>Global</t>
  </si>
  <si>
    <t>Target WR</t>
  </si>
  <si>
    <t>Target G</t>
  </si>
  <si>
    <t>wD/tD</t>
  </si>
  <si>
    <t>skD/tD</t>
  </si>
  <si>
    <t>HPM</t>
  </si>
  <si>
    <t>DPM</t>
  </si>
  <si>
    <t>Obj/M</t>
  </si>
  <si>
    <t>Calc</t>
  </si>
  <si>
    <t>Combo</t>
  </si>
  <si>
    <t>MetaRole</t>
  </si>
  <si>
    <t>Repeater Charge</t>
  </si>
  <si>
    <t>Hitscan Projectile</t>
  </si>
  <si>
    <t>Tracking</t>
  </si>
  <si>
    <t>Tracking Repeater</t>
  </si>
  <si>
    <t>Playtime (Raw)</t>
  </si>
  <si>
    <t>Weapon</t>
  </si>
  <si>
    <t>Taken</t>
  </si>
  <si>
    <t>Shielding</t>
  </si>
  <si>
    <t>Healing</t>
  </si>
  <si>
    <t>Self Healing</t>
  </si>
  <si>
    <t>Button</t>
  </si>
  <si>
    <t>Obj (sec)</t>
  </si>
  <si>
    <t>PlayT (min)</t>
  </si>
  <si>
    <t>eHPM</t>
  </si>
  <si>
    <t>Taken/M</t>
  </si>
  <si>
    <t>Shield/M</t>
  </si>
  <si>
    <t>Vora</t>
  </si>
  <si>
    <t>2h 19m</t>
  </si>
  <si>
    <t>1h 8m</t>
  </si>
  <si>
    <t>2h 35m</t>
  </si>
  <si>
    <t>2h 48m</t>
  </si>
  <si>
    <t>Yagorath</t>
  </si>
  <si>
    <t>1h 12m</t>
  </si>
  <si>
    <t>6h 48m</t>
  </si>
  <si>
    <t>2h 32m</t>
  </si>
  <si>
    <t>1h 59m</t>
  </si>
  <si>
    <t>5h 42m</t>
  </si>
  <si>
    <t>4h 10m</t>
  </si>
  <si>
    <t>11h 18m</t>
  </si>
  <si>
    <t>9h 46m</t>
  </si>
  <si>
    <t>7h 19m</t>
  </si>
  <si>
    <t>Vatu</t>
  </si>
  <si>
    <t>https://paladins.guru/profile/4894277-TofuCookies/champions</t>
  </si>
  <si>
    <t>Bonuses</t>
  </si>
  <si>
    <t>Movement</t>
  </si>
  <si>
    <t>Other</t>
  </si>
  <si>
    <t>Reload</t>
  </si>
  <si>
    <t>Damage increased</t>
  </si>
  <si>
    <t>Movement speed vs. Slow</t>
  </si>
  <si>
    <t>Damage taken reduced vs. Damage taken increased</t>
  </si>
  <si>
    <t>Resilence</t>
  </si>
  <si>
    <t>Healing taken reduced vs. Healing taken increased</t>
  </si>
  <si>
    <t>29m</t>
  </si>
  <si>
    <t>4h 42m</t>
  </si>
  <si>
    <t>1h 21m</t>
  </si>
  <si>
    <t>4h 24m</t>
  </si>
  <si>
    <t>Octavia</t>
  </si>
  <si>
    <t>https://paladins.guru/profile/12013424-TofuLifestyle/champions</t>
  </si>
  <si>
    <t>5h 3m</t>
  </si>
  <si>
    <t>3h 24m</t>
  </si>
  <si>
    <t>49m</t>
  </si>
  <si>
    <t>28m</t>
  </si>
  <si>
    <t>30m</t>
  </si>
  <si>
    <t>1h 45m</t>
  </si>
  <si>
    <t>24m</t>
  </si>
  <si>
    <t>11h 15m</t>
  </si>
  <si>
    <t>4h 18m</t>
  </si>
  <si>
    <t>6m</t>
  </si>
  <si>
    <t>22h 18m</t>
  </si>
  <si>
    <t>12m</t>
  </si>
  <si>
    <t>1h 46m</t>
  </si>
  <si>
    <t>1h 26m</t>
  </si>
  <si>
    <t>54m</t>
  </si>
  <si>
    <t>1h 5m</t>
  </si>
  <si>
    <t>9m</t>
  </si>
  <si>
    <t>27m</t>
  </si>
  <si>
    <t>19m</t>
  </si>
  <si>
    <t>1h 32m</t>
  </si>
  <si>
    <t>2h 18m</t>
  </si>
  <si>
    <t>2h 14m</t>
  </si>
  <si>
    <t>2h 1m</t>
  </si>
  <si>
    <t>5h 43m</t>
  </si>
  <si>
    <t>2h 54m</t>
  </si>
  <si>
    <t>1h 56m</t>
  </si>
  <si>
    <t>2h 11m</t>
  </si>
  <si>
    <t>2h 15m</t>
  </si>
  <si>
    <t>45m</t>
  </si>
  <si>
    <t>7h 44m</t>
  </si>
  <si>
    <t>46m</t>
  </si>
  <si>
    <t>4h 54m</t>
  </si>
  <si>
    <t>36m</t>
  </si>
  <si>
    <t>https://paladins.guru/profile/720848529-TofuShake/champions</t>
  </si>
  <si>
    <t>2h 24m</t>
  </si>
  <si>
    <t>1h 35m</t>
  </si>
  <si>
    <t>5m</t>
  </si>
  <si>
    <t>1h 3m</t>
  </si>
  <si>
    <t>11h 44m</t>
  </si>
  <si>
    <t>4h 59m</t>
  </si>
  <si>
    <t>1h 23m</t>
  </si>
  <si>
    <t>7m</t>
  </si>
  <si>
    <t>1h 22m</t>
  </si>
  <si>
    <t>22m</t>
  </si>
  <si>
    <t>50m</t>
  </si>
  <si>
    <t>8h 25m</t>
  </si>
  <si>
    <t>16m</t>
  </si>
  <si>
    <t>3h 45m</t>
  </si>
  <si>
    <t>51m</t>
  </si>
  <si>
    <t>6h 36m</t>
  </si>
  <si>
    <t>1h 9m</t>
  </si>
  <si>
    <t>3h 54m</t>
  </si>
  <si>
    <t>43m</t>
  </si>
  <si>
    <t>3h 49m</t>
  </si>
  <si>
    <t>K</t>
  </si>
  <si>
    <t>D</t>
  </si>
  <si>
    <t>A</t>
  </si>
  <si>
    <t>W</t>
  </si>
  <si>
    <t>L</t>
  </si>
  <si>
    <t>2h 27m</t>
  </si>
  <si>
    <t>14h 24m</t>
  </si>
  <si>
    <t>2h 2m</t>
  </si>
  <si>
    <t>3h 16m</t>
  </si>
  <si>
    <t>1h 34m</t>
  </si>
  <si>
    <t>4h 38m</t>
  </si>
  <si>
    <t>9h 36m</t>
  </si>
  <si>
    <t>14h 6m</t>
  </si>
  <si>
    <t>13h 10m</t>
  </si>
  <si>
    <t>K/W</t>
  </si>
  <si>
    <t>24h 17m</t>
  </si>
  <si>
    <t>17h 56m</t>
  </si>
  <si>
    <t>2h 8m</t>
  </si>
  <si>
    <t>1h 57m</t>
  </si>
  <si>
    <t>52m</t>
  </si>
  <si>
    <t>44m</t>
  </si>
  <si>
    <t>3h 20m</t>
  </si>
  <si>
    <t>13m</t>
  </si>
  <si>
    <t>33m</t>
  </si>
  <si>
    <t>16h 45m</t>
  </si>
  <si>
    <t>4h 13m</t>
  </si>
  <si>
    <t>31h 30m</t>
  </si>
  <si>
    <t>6h 29m</t>
  </si>
  <si>
    <t>29h 12m</t>
  </si>
  <si>
    <t>5h 49m</t>
  </si>
  <si>
    <t>3h 3m</t>
  </si>
  <si>
    <t>53h 14m</t>
  </si>
  <si>
    <t>29h 40m</t>
  </si>
  <si>
    <t>106h 45m</t>
  </si>
  <si>
    <t>16h 58m</t>
  </si>
  <si>
    <t>114h 5m</t>
  </si>
  <si>
    <t>141h 24m</t>
  </si>
  <si>
    <t>26h 19m</t>
  </si>
  <si>
    <t>5h 9m</t>
  </si>
  <si>
    <t>101h 7m</t>
  </si>
  <si>
    <t>43h 50m</t>
  </si>
  <si>
    <t>52h 39m</t>
  </si>
  <si>
    <t>16h 43m</t>
  </si>
  <si>
    <t>43h 40m</t>
  </si>
  <si>
    <t>11h 27m</t>
  </si>
  <si>
    <t>4h 58m</t>
  </si>
  <si>
    <t>Rei</t>
  </si>
  <si>
    <t>Saati</t>
  </si>
  <si>
    <t>Azaan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</si>
</sst>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4" fillId="6" borderId="2" applyNumberFormat="0" applyAlignment="0" applyProtection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vertical="center"/>
    </xf>
    <xf numFmtId="2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0" fontId="3" fillId="4" borderId="0" xfId="0" applyNumberFormat="1" applyFont="1" applyFill="1" applyAlignment="1">
      <alignment horizontal="center" vertical="center"/>
    </xf>
    <xf numFmtId="20" fontId="3" fillId="4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10" fontId="3" fillId="4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0" fontId="0" fillId="0" borderId="0" xfId="0" applyNumberFormat="1" applyAlignment="1">
      <alignment horizontal="left" vertical="center"/>
    </xf>
    <xf numFmtId="10" fontId="3" fillId="3" borderId="0" xfId="0" applyNumberFormat="1" applyFont="1" applyFill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10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3" fontId="0" fillId="0" borderId="0" xfId="0" applyNumberFormat="1" applyAlignment="1">
      <alignment horizontal="center" vertical="center"/>
    </xf>
    <xf numFmtId="3" fontId="3" fillId="4" borderId="0" xfId="0" applyNumberFormat="1" applyFont="1" applyFill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3" fontId="3" fillId="7" borderId="0" xfId="0" applyNumberFormat="1" applyFont="1" applyFill="1" applyAlignment="1">
      <alignment horizontal="left" vertical="center"/>
    </xf>
    <xf numFmtId="3" fontId="3" fillId="5" borderId="0" xfId="0" applyNumberFormat="1" applyFont="1" applyFill="1" applyAlignment="1">
      <alignment horizontal="left" vertical="center"/>
    </xf>
    <xf numFmtId="3" fontId="0" fillId="0" borderId="0" xfId="0" applyNumberFormat="1" applyAlignment="1">
      <alignment horizontal="center"/>
    </xf>
    <xf numFmtId="20" fontId="3" fillId="3" borderId="0" xfId="0" applyNumberFormat="1" applyFont="1" applyFill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" fillId="2" borderId="1" xfId="1"/>
    <xf numFmtId="10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/>
    <xf numFmtId="2" fontId="0" fillId="0" borderId="0" xfId="0" applyNumberFormat="1"/>
    <xf numFmtId="2" fontId="7" fillId="6" borderId="2" xfId="3" applyNumberFormat="1" applyFill="1" applyBorder="1" applyAlignment="1">
      <alignment horizontal="center" vertical="center" textRotation="90"/>
    </xf>
    <xf numFmtId="2" fontId="4" fillId="6" borderId="2" xfId="2" applyNumberFormat="1" applyAlignment="1">
      <alignment horizontal="center" vertical="center" textRotation="90"/>
    </xf>
    <xf numFmtId="2" fontId="1" fillId="2" borderId="1" xfId="1" applyNumberFormat="1" applyAlignment="1">
      <alignment horizontal="center" vertical="center"/>
    </xf>
  </cellXfs>
  <cellStyles count="4">
    <cellStyle name="Calculation" xfId="2" builtinId="22"/>
    <cellStyle name="Check Cell" xfId="1" builtinId="23"/>
    <cellStyle name="Hyperlink" xfId="3" builtinId="8"/>
    <cellStyle name="Normal" xfId="0" builtinId="0"/>
  </cellStyles>
  <dxfs count="20">
    <dxf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ill>
        <patternFill>
          <bgColor rgb="FFE1A3DE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ill>
        <patternFill>
          <bgColor rgb="FFE1A3DE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ill>
        <patternFill>
          <bgColor rgb="FFE1A3DE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ill>
        <patternFill>
          <bgColor rgb="FFE1A3DE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E1A3DE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47625</xdr:rowOff>
        </xdr:from>
        <xdr:to>
          <xdr:col>1</xdr:col>
          <xdr:colOff>19050</xdr:colOff>
          <xdr:row>14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2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47625</xdr:rowOff>
        </xdr:from>
        <xdr:to>
          <xdr:col>1</xdr:col>
          <xdr:colOff>19050</xdr:colOff>
          <xdr:row>14</xdr:row>
          <xdr:rowOff>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3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47625</xdr:rowOff>
        </xdr:from>
        <xdr:to>
          <xdr:col>1</xdr:col>
          <xdr:colOff>19050</xdr:colOff>
          <xdr:row>14</xdr:row>
          <xdr:rowOff>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4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47625</xdr:rowOff>
        </xdr:from>
        <xdr:to>
          <xdr:col>1</xdr:col>
          <xdr:colOff>19050</xdr:colOff>
          <xdr:row>14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ladins.guru/profile/4894277-TofuCookies/champions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paladins.guru/profile/12013424-TofuLifestyle/champions" TargetMode="External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paladins.guru/profile/720848529-TofuShake/champions" TargetMode="External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C505B-30B3-4C0B-9680-7E21AD9A2211}">
  <sheetPr codeName="Sheet1"/>
  <dimension ref="A1:C15"/>
  <sheetViews>
    <sheetView workbookViewId="0">
      <selection activeCell="I17" sqref="I17"/>
    </sheetView>
  </sheetViews>
  <sheetFormatPr defaultRowHeight="15" x14ac:dyDescent="0.25"/>
  <cols>
    <col min="2" max="2" width="9.140625" style="47"/>
    <col min="3" max="3" width="13.140625" customWidth="1"/>
    <col min="8" max="8" width="9.140625" customWidth="1"/>
    <col min="9" max="9" width="12.28515625" customWidth="1"/>
    <col min="10" max="10" width="5.7109375" customWidth="1"/>
    <col min="11" max="11" width="7.5703125" customWidth="1"/>
    <col min="12" max="12" width="6.28515625" customWidth="1"/>
    <col min="13" max="13" width="8.7109375" customWidth="1"/>
    <col min="14" max="18" width="5.7109375" customWidth="1"/>
  </cols>
  <sheetData>
    <row r="1" spans="1:3" ht="16.5" thickTop="1" thickBot="1" x14ac:dyDescent="0.3">
      <c r="A1" s="46" t="s">
        <v>122</v>
      </c>
      <c r="B1" s="47">
        <f>IF(MAX(A2:A15)+(1.5-MAX(A2:A15))*((SUM(A2:A15)-MAX(A2:A15))/(SUM(A2:A15)-0.3+1.36))&gt;1.5,1.5,MAX(A2:A15)+(1.5-MAX(A2:A15))*((SUM(A2:A15)-MAX(A2:A15))/(SUM(A2:A15)-0.3+1.36)))</f>
        <v>0</v>
      </c>
      <c r="C1" s="46" t="s">
        <v>123</v>
      </c>
    </row>
    <row r="2" spans="1:3" ht="16.5" thickTop="1" thickBot="1" x14ac:dyDescent="0.3">
      <c r="A2" s="47"/>
      <c r="B2" s="47">
        <f>IF(SUM(A2:A15)&gt;0.6,0.6,SUM(A2:A15))</f>
        <v>0</v>
      </c>
      <c r="C2" s="46" t="s">
        <v>125</v>
      </c>
    </row>
    <row r="3" spans="1:3" ht="16.5" thickTop="1" thickBot="1" x14ac:dyDescent="0.3">
      <c r="A3" s="47"/>
      <c r="B3" s="47">
        <f>IF(MAX(A2:A15)+(0.95-MAX(A2:A15))*((SUM(A2:A15)-MAX(A2:A15))/(SUM(A2:A15)-0.3+0.8))&gt;0.95,0.95,MAX(A2:A15)+(0.95-MAX(A2:A15))*((SUM(A2:A15)-MAX(A2:A15))/(SUM(A2:A15)-0.3+0.8)))</f>
        <v>0</v>
      </c>
      <c r="C3" s="46" t="s">
        <v>124</v>
      </c>
    </row>
    <row r="4" spans="1:3" ht="15.75" thickTop="1" x14ac:dyDescent="0.25">
      <c r="C4" t="s">
        <v>128</v>
      </c>
    </row>
    <row r="5" spans="1:3" x14ac:dyDescent="0.25">
      <c r="A5" s="47"/>
      <c r="C5" t="s">
        <v>127</v>
      </c>
    </row>
    <row r="6" spans="1:3" x14ac:dyDescent="0.25">
      <c r="A6" s="47"/>
      <c r="C6" t="s">
        <v>130</v>
      </c>
    </row>
    <row r="7" spans="1:3" x14ac:dyDescent="0.25">
      <c r="A7" s="47"/>
      <c r="C7" t="s">
        <v>129</v>
      </c>
    </row>
    <row r="8" spans="1:3" x14ac:dyDescent="0.25">
      <c r="A8" s="47"/>
      <c r="C8" t="s">
        <v>126</v>
      </c>
    </row>
    <row r="9" spans="1:3" x14ac:dyDescent="0.25">
      <c r="A9" s="47"/>
    </row>
    <row r="10" spans="1:3" x14ac:dyDescent="0.25">
      <c r="A10" s="47"/>
    </row>
    <row r="11" spans="1:3" x14ac:dyDescent="0.25">
      <c r="A11" s="47"/>
    </row>
    <row r="12" spans="1:3" x14ac:dyDescent="0.25">
      <c r="A12" s="47"/>
    </row>
    <row r="13" spans="1:3" x14ac:dyDescent="0.25">
      <c r="A13" s="47"/>
    </row>
    <row r="14" spans="1:3" x14ac:dyDescent="0.25">
      <c r="A14" s="47"/>
    </row>
    <row r="15" spans="1:3" x14ac:dyDescent="0.25">
      <c r="A15" s="47"/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5BF12-F14B-483D-9A6B-5B48C0515B74}">
  <sheetPr codeName="Sheet2"/>
  <dimension ref="A1:M12"/>
  <sheetViews>
    <sheetView workbookViewId="0">
      <selection activeCell="H14" sqref="H14"/>
    </sheetView>
  </sheetViews>
  <sheetFormatPr defaultRowHeight="15" x14ac:dyDescent="0.25"/>
  <cols>
    <col min="1" max="1" width="11.85546875" customWidth="1"/>
    <col min="2" max="2" width="6.7109375" customWidth="1"/>
    <col min="3" max="3" width="12.7109375" customWidth="1"/>
    <col min="4" max="4" width="8.28515625" customWidth="1"/>
    <col min="6" max="6" width="7" customWidth="1"/>
  </cols>
  <sheetData>
    <row r="1" spans="1:13" x14ac:dyDescent="0.25">
      <c r="C1" s="48" t="s">
        <v>77</v>
      </c>
      <c r="D1" s="48" t="s">
        <v>205</v>
      </c>
      <c r="E1" s="48" t="s">
        <v>58</v>
      </c>
      <c r="F1" s="48" t="s">
        <v>57</v>
      </c>
      <c r="G1" s="48" t="s">
        <v>46</v>
      </c>
      <c r="H1" s="48" t="s">
        <v>61</v>
      </c>
      <c r="I1" s="48" t="s">
        <v>191</v>
      </c>
      <c r="J1" s="48" t="s">
        <v>192</v>
      </c>
      <c r="K1" s="48" t="s">
        <v>193</v>
      </c>
      <c r="L1" s="48" t="s">
        <v>194</v>
      </c>
      <c r="M1" s="48" t="s">
        <v>195</v>
      </c>
    </row>
    <row r="2" spans="1:13" x14ac:dyDescent="0.25">
      <c r="A2" t="s">
        <v>79</v>
      </c>
      <c r="B2">
        <v>1</v>
      </c>
      <c r="C2" t="s">
        <v>36</v>
      </c>
      <c r="D2" s="50">
        <f t="shared" ref="D2:D6" si="0">IF(E2/F2&lt;0,0,E2/F2)</f>
        <v>8.1686046511627914</v>
      </c>
      <c r="E2">
        <f t="shared" ref="E2:E6" si="1">ROUNDUP($A$5*J2-I2-K2/2,0)</f>
        <v>1405</v>
      </c>
      <c r="F2">
        <f t="shared" ref="F2:F6" si="2">ROUNDUP((($A$3-1)*L2+$A$3*M2)/(1-$A$3),0)</f>
        <v>172</v>
      </c>
      <c r="G2" s="49">
        <f t="shared" ref="G2:G6" si="3">(I2+K2/2)/J2</f>
        <v>2.7442664725154713</v>
      </c>
      <c r="H2" s="47">
        <f t="shared" ref="H2:H6" si="4">L2/(L2+M2)</f>
        <v>0.63341968911917101</v>
      </c>
      <c r="I2">
        <f>11481+9+17</f>
        <v>11507</v>
      </c>
      <c r="J2">
        <f>5493+1</f>
        <v>5494</v>
      </c>
      <c r="K2">
        <f>7119+8+13</f>
        <v>7140</v>
      </c>
      <c r="L2">
        <f>487+1+1</f>
        <v>489</v>
      </c>
      <c r="M2">
        <f>283</f>
        <v>283</v>
      </c>
    </row>
    <row r="3" spans="1:13" x14ac:dyDescent="0.25">
      <c r="A3">
        <v>0.7</v>
      </c>
      <c r="B3">
        <v>2</v>
      </c>
      <c r="C3" t="s">
        <v>4</v>
      </c>
      <c r="D3" s="50">
        <f t="shared" si="0"/>
        <v>0</v>
      </c>
      <c r="E3">
        <f t="shared" si="1"/>
        <v>0</v>
      </c>
      <c r="F3">
        <f t="shared" si="2"/>
        <v>137</v>
      </c>
      <c r="G3" s="49" t="e">
        <f t="shared" si="3"/>
        <v>#DIV/0!</v>
      </c>
      <c r="H3" s="47">
        <f t="shared" si="4"/>
        <v>0.63678516228748072</v>
      </c>
      <c r="L3">
        <f>412</f>
        <v>412</v>
      </c>
      <c r="M3">
        <f>234+1</f>
        <v>235</v>
      </c>
    </row>
    <row r="4" spans="1:13" x14ac:dyDescent="0.25">
      <c r="A4" t="s">
        <v>56</v>
      </c>
      <c r="B4">
        <v>3</v>
      </c>
      <c r="C4" t="s">
        <v>50</v>
      </c>
      <c r="D4" s="50">
        <f t="shared" si="0"/>
        <v>34.556962025316459</v>
      </c>
      <c r="E4">
        <f t="shared" si="1"/>
        <v>2730</v>
      </c>
      <c r="F4">
        <f t="shared" si="2"/>
        <v>79</v>
      </c>
      <c r="G4" s="49">
        <f>(I4+K4/2)/J4</f>
        <v>2.4981614267328554</v>
      </c>
      <c r="H4" s="47">
        <f t="shared" si="4"/>
        <v>0.66178861788617882</v>
      </c>
      <c r="I4">
        <f>11073+11+17+17</f>
        <v>11118</v>
      </c>
      <c r="J4">
        <f>5432+2+4+1</f>
        <v>5439</v>
      </c>
      <c r="K4">
        <f>4901+18+7+13</f>
        <v>4939</v>
      </c>
      <c r="L4">
        <f>400+1+1+1+1+1+1+1</f>
        <v>407</v>
      </c>
      <c r="M4">
        <f>208</f>
        <v>208</v>
      </c>
    </row>
    <row r="5" spans="1:13" x14ac:dyDescent="0.25">
      <c r="A5">
        <v>3</v>
      </c>
      <c r="B5">
        <v>4</v>
      </c>
      <c r="C5" t="s">
        <v>2</v>
      </c>
      <c r="D5" s="50">
        <f t="shared" si="0"/>
        <v>6.7647058823529411</v>
      </c>
      <c r="E5">
        <f t="shared" si="1"/>
        <v>460</v>
      </c>
      <c r="F5">
        <f t="shared" si="2"/>
        <v>68</v>
      </c>
      <c r="G5" s="49">
        <f t="shared" si="3"/>
        <v>2.6509863429438543</v>
      </c>
      <c r="H5" s="47">
        <f t="shared" si="4"/>
        <v>0.61506276150627615</v>
      </c>
      <c r="I5">
        <f>1886+13</f>
        <v>1899</v>
      </c>
      <c r="J5">
        <f>1317+1</f>
        <v>1318</v>
      </c>
      <c r="K5">
        <f>3173+17</f>
        <v>3190</v>
      </c>
      <c r="L5">
        <f>146+1</f>
        <v>147</v>
      </c>
      <c r="M5">
        <f>91+1</f>
        <v>92</v>
      </c>
    </row>
    <row r="6" spans="1:13" x14ac:dyDescent="0.25">
      <c r="B6">
        <v>5</v>
      </c>
      <c r="C6" t="s">
        <v>0</v>
      </c>
      <c r="D6" s="50">
        <f t="shared" si="0"/>
        <v>17.2</v>
      </c>
      <c r="E6">
        <f t="shared" si="1"/>
        <v>430</v>
      </c>
      <c r="F6">
        <f t="shared" si="2"/>
        <v>25</v>
      </c>
      <c r="G6" s="49">
        <f t="shared" si="3"/>
        <v>2.1819047619047618</v>
      </c>
      <c r="H6" s="47">
        <f t="shared" si="4"/>
        <v>0.6262626262626263</v>
      </c>
      <c r="I6">
        <f>526+1+7</f>
        <v>534</v>
      </c>
      <c r="J6">
        <f>524+1</f>
        <v>525</v>
      </c>
      <c r="K6">
        <f>1194+13+16</f>
        <v>1223</v>
      </c>
      <c r="L6">
        <f>51+1+1+1+1+1+1+1+1+1+1+1</f>
        <v>62</v>
      </c>
      <c r="M6">
        <f>37</f>
        <v>37</v>
      </c>
    </row>
    <row r="7" spans="1:13" x14ac:dyDescent="0.25">
      <c r="B7">
        <v>6</v>
      </c>
      <c r="C7" t="s">
        <v>7</v>
      </c>
      <c r="D7" s="50">
        <f t="shared" ref="D7" si="5">IF(E7/F7&lt;0,0,E7/F7)</f>
        <v>0</v>
      </c>
      <c r="E7">
        <f>ROUNDUP($A$5*J7-I7-K7/2,0)</f>
        <v>-8</v>
      </c>
      <c r="F7">
        <f t="shared" ref="F7" si="6">ROUNDUP((($A$3-1)*L7+$A$3*M7)/(1-$A$3),0)</f>
        <v>2</v>
      </c>
      <c r="G7" s="49">
        <f t="shared" ref="G7" si="7">(I7+K7/2)/J7</f>
        <v>3.0646551724137931</v>
      </c>
      <c r="H7" s="47">
        <f t="shared" ref="H7" si="8">L7/(L7+M7)</f>
        <v>0.6875</v>
      </c>
      <c r="I7">
        <f>112+3</f>
        <v>115</v>
      </c>
      <c r="J7">
        <f>115+1</f>
        <v>116</v>
      </c>
      <c r="K7">
        <f>463+18</f>
        <v>481</v>
      </c>
      <c r="L7">
        <f>21+1</f>
        <v>22</v>
      </c>
      <c r="M7">
        <f>10</f>
        <v>10</v>
      </c>
    </row>
    <row r="11" spans="1:13" x14ac:dyDescent="0.25">
      <c r="C11" t="s">
        <v>50</v>
      </c>
      <c r="D11">
        <v>32.292929292929294</v>
      </c>
      <c r="E11">
        <v>3197</v>
      </c>
      <c r="F11">
        <v>99</v>
      </c>
      <c r="G11" s="49">
        <v>2.3948514101836076</v>
      </c>
      <c r="H11" s="47">
        <v>0.64869565217391301</v>
      </c>
    </row>
    <row r="12" spans="1:13" x14ac:dyDescent="0.25">
      <c r="G12" s="49"/>
      <c r="H12" s="47"/>
    </row>
  </sheetData>
  <autoFilter ref="C1:M1" xr:uid="{9645BF12-F14B-483D-9A6B-5B48C0515B74}">
    <sortState xmlns:xlrd2="http://schemas.microsoft.com/office/spreadsheetml/2017/richdata2" ref="C2:M13">
      <sortCondition descending="1" ref="F1"/>
    </sortState>
  </autoFilter>
  <conditionalFormatting sqref="F2:F7">
    <cfRule type="colorScale" priority="116">
      <colorScale>
        <cfvo type="num" val="0"/>
        <cfvo type="max"/>
        <color rgb="FF63BE7B"/>
        <color rgb="FFFFEF9C"/>
      </colorScale>
    </cfRule>
  </conditionalFormatting>
  <conditionalFormatting sqref="E2:E7">
    <cfRule type="colorScale" priority="117">
      <colorScale>
        <cfvo type="num" val="0"/>
        <cfvo type="max"/>
        <color rgb="FF63BE7B"/>
        <color rgb="FFFFEF9C"/>
      </colorScale>
    </cfRule>
  </conditionalFormatting>
  <conditionalFormatting sqref="D2:D7">
    <cfRule type="colorScale" priority="118">
      <colorScale>
        <cfvo type="num" val="0"/>
        <cfvo type="max"/>
        <color rgb="FF63BE7B"/>
        <color rgb="FFFFEF9C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53368-C9F8-4A03-80B9-7D0378893E14}">
  <sheetPr codeName="Sheet10"/>
  <dimension ref="A1:AT67"/>
  <sheetViews>
    <sheetView tabSelected="1" topLeftCell="X1" zoomScale="85" zoomScaleNormal="85" workbookViewId="0">
      <pane ySplit="15" topLeftCell="A16" activePane="bottomLeft" state="frozen"/>
      <selection pane="bottomLeft" activeCell="AO15" sqref="AO15"/>
    </sheetView>
  </sheetViews>
  <sheetFormatPr defaultColWidth="9.140625" defaultRowHeight="15" x14ac:dyDescent="0.25"/>
  <cols>
    <col min="1" max="1" width="10" style="6" bestFit="1" customWidth="1"/>
    <col min="2" max="2" width="11.140625" style="4" bestFit="1" customWidth="1"/>
    <col min="3" max="3" width="10.7109375" style="22" customWidth="1"/>
    <col min="4" max="4" width="15.85546875" style="13" customWidth="1"/>
    <col min="5" max="6" width="10.7109375" style="4" customWidth="1"/>
    <col min="7" max="7" width="2.140625" style="6" customWidth="1"/>
    <col min="8" max="8" width="7.7109375" style="5" customWidth="1"/>
    <col min="9" max="9" width="7.85546875" style="8" customWidth="1"/>
    <col min="10" max="10" width="7.7109375" style="6" customWidth="1"/>
    <col min="11" max="13" width="10.7109375" style="6" customWidth="1"/>
    <col min="14" max="14" width="1.42578125" style="6" customWidth="1"/>
    <col min="15" max="15" width="10.85546875" style="5" customWidth="1"/>
    <col min="16" max="16" width="8.85546875" style="5" customWidth="1"/>
    <col min="17" max="17" width="10.140625" style="5" customWidth="1"/>
    <col min="18" max="18" width="12.7109375" style="6" customWidth="1"/>
    <col min="19" max="19" width="1.42578125" style="6" customWidth="1"/>
    <col min="20" max="20" width="15.7109375" style="5" customWidth="1"/>
    <col min="21" max="34" width="15.7109375" style="32" customWidth="1"/>
    <col min="35" max="35" width="9.28515625" style="11" customWidth="1"/>
    <col min="36" max="36" width="1.42578125" style="6" customWidth="1"/>
    <col min="37" max="39" width="5.7109375" style="6" customWidth="1"/>
    <col min="40" max="41" width="8.7109375" style="8" customWidth="1"/>
    <col min="42" max="42" width="9.7109375" style="6" customWidth="1"/>
    <col min="43" max="43" width="7.85546875" style="6" customWidth="1"/>
    <col min="44" max="44" width="9.7109375" style="6" customWidth="1"/>
    <col min="45" max="45" width="1.42578125" style="6" customWidth="1"/>
    <col min="46" max="46" width="10.7109375" style="4" customWidth="1"/>
    <col min="47" max="16384" width="9.140625" style="4"/>
  </cols>
  <sheetData>
    <row r="1" spans="1:46" s="15" customFormat="1" ht="15" customHeight="1" x14ac:dyDescent="0.25">
      <c r="A1" s="51" t="s">
        <v>121</v>
      </c>
      <c r="B1" s="15" t="s">
        <v>60</v>
      </c>
      <c r="C1" s="20" t="s">
        <v>88</v>
      </c>
      <c r="D1" s="16" t="s">
        <v>79</v>
      </c>
      <c r="E1" s="15" t="s">
        <v>56</v>
      </c>
      <c r="F1" s="15" t="s">
        <v>80</v>
      </c>
      <c r="G1" s="18"/>
      <c r="H1" s="15" t="s">
        <v>59</v>
      </c>
      <c r="I1" s="16" t="s">
        <v>61</v>
      </c>
      <c r="J1" s="14" t="s">
        <v>46</v>
      </c>
      <c r="K1" s="14" t="s">
        <v>84</v>
      </c>
      <c r="L1" s="14" t="s">
        <v>83</v>
      </c>
      <c r="M1" s="14" t="s">
        <v>71</v>
      </c>
      <c r="N1" s="18"/>
      <c r="O1" s="14" t="s">
        <v>57</v>
      </c>
      <c r="P1" s="14" t="s">
        <v>86</v>
      </c>
      <c r="Q1" s="14" t="s">
        <v>58</v>
      </c>
      <c r="R1" s="14" t="s">
        <v>70</v>
      </c>
      <c r="S1" s="14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 t="s">
        <v>101</v>
      </c>
      <c r="AI1" s="17" t="s">
        <v>73</v>
      </c>
      <c r="AJ1" s="18"/>
      <c r="AK1" s="14" t="s">
        <v>74</v>
      </c>
      <c r="AL1" s="14" t="s">
        <v>75</v>
      </c>
      <c r="AM1" s="14" t="s">
        <v>76</v>
      </c>
      <c r="AN1" s="16" t="s">
        <v>81</v>
      </c>
      <c r="AO1" s="16" t="s">
        <v>82</v>
      </c>
      <c r="AP1" s="14" t="s">
        <v>103</v>
      </c>
      <c r="AQ1" s="14" t="s">
        <v>85</v>
      </c>
      <c r="AR1" s="14" t="s">
        <v>104</v>
      </c>
      <c r="AS1" s="18"/>
      <c r="AT1" s="15" t="s">
        <v>102</v>
      </c>
    </row>
    <row r="2" spans="1:46" s="31" customFormat="1" x14ac:dyDescent="0.25">
      <c r="A2" s="52"/>
      <c r="B2" s="26">
        <f>J2*(LOG(H2))*I2</f>
        <v>8.2098242446573124</v>
      </c>
      <c r="C2" s="27" t="s">
        <v>78</v>
      </c>
      <c r="D2" s="28">
        <f>AVERAGE(D3:D6)</f>
        <v>0.7</v>
      </c>
      <c r="E2" s="26">
        <f>AVERAGE(E3:E6)</f>
        <v>3</v>
      </c>
      <c r="F2" s="29">
        <f>AVERAGE(F3:F6)</f>
        <v>10</v>
      </c>
      <c r="G2" s="26"/>
      <c r="H2" s="29">
        <f>SUM(H16:H64)</f>
        <v>6482</v>
      </c>
      <c r="I2" s="28">
        <f>SUM(AF16:AF64)/(SUM(AF16:AF64)+SUM(AG16:AG64))</f>
        <v>0.69654427645788342</v>
      </c>
      <c r="J2" s="26">
        <f>(SUM(V16:V64)+SUM(X16:X64)/2)/SUM(W16:W64)</f>
        <v>3.0921844460446457</v>
      </c>
      <c r="K2" s="26">
        <f>SUM(Y16:Y64)/SUM(AH16:AH64)</f>
        <v>6963.2063388257066</v>
      </c>
      <c r="L2" s="26">
        <f>SUM(AC16:AC64)/SUM(AH16:AH64)</f>
        <v>211.94447545978019</v>
      </c>
      <c r="M2" s="26">
        <f>SUM(U16:U64)/SUM(AH16:AH64)</f>
        <v>347.62734276553999</v>
      </c>
      <c r="N2" s="26"/>
      <c r="O2" s="29">
        <f>((D2-1)*SUM(AF16:AF64)+D2*SUM(AG16:AG64))/(1-D3)</f>
        <v>74.666666666665449</v>
      </c>
      <c r="P2" s="29"/>
      <c r="Q2" s="29">
        <f>E2*SUM(W16:W64)-SUM(V16:V64)-SUM(X16:X64)/2</f>
        <v>-3584.5</v>
      </c>
      <c r="R2" s="26">
        <f>IF(AND(O2&gt;0,Q2&gt;0),Q2/O2,(IF(AND(O2&lt;=0,Q2&gt;0),Q2,0)))</f>
        <v>0</v>
      </c>
      <c r="S2" s="26"/>
      <c r="T2" s="30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>
        <f>SUM(AH3:AH6)</f>
        <v>62693</v>
      </c>
      <c r="AI2" s="44">
        <f>IF(AH2&gt;0,AH2/1440," ")</f>
        <v>43.536805555555553</v>
      </c>
      <c r="AJ2" s="26"/>
      <c r="AK2" s="26">
        <f>SUM(V16:V64)/SUM(AH16:AH64)</f>
        <v>1.3504378479256058</v>
      </c>
      <c r="AL2" s="26">
        <f>SUM(W16:W64)/SUM(AH16:AH64)</f>
        <v>0.62022873367042575</v>
      </c>
      <c r="AM2" s="26">
        <f>SUM(X16:X64)/SUM(AH16:AH64)</f>
        <v>1.1348475906401034</v>
      </c>
      <c r="AN2" s="28">
        <f>SUM(Z16:Z64)/SUM(Y16:Y64)</f>
        <v>0.89763012479638526</v>
      </c>
      <c r="AO2" s="28">
        <f>(SUM(Y16:Y64)-SUM(Z16:Z64))/SUM(Y16:Y64)</f>
        <v>0.10236987520361479</v>
      </c>
      <c r="AP2" s="26">
        <f>SUM(AA16:AA64)/SUM(AH16:AH64)</f>
        <v>4357.9053482844974</v>
      </c>
      <c r="AQ2" s="26">
        <f>SUM(AE16:AE64)/SUM(AH16:AH64)</f>
        <v>2.8990158390888934</v>
      </c>
      <c r="AR2" s="26">
        <f>SUM(AB16:AB64)/SUM(AH16:AH64)</f>
        <v>761.00229690715071</v>
      </c>
      <c r="AS2" s="26"/>
      <c r="AT2" s="31">
        <f>SUM(AT16:AT64)/SUM(AH16:AH64)</f>
        <v>1.4336740482999883</v>
      </c>
    </row>
    <row r="3" spans="1:46" x14ac:dyDescent="0.25">
      <c r="A3" s="52"/>
      <c r="B3" s="6">
        <f>J3*(LOG(H3))*I3</f>
        <v>7.6793645967384743</v>
      </c>
      <c r="C3" s="21" t="s">
        <v>38</v>
      </c>
      <c r="D3" s="8">
        <v>0.7</v>
      </c>
      <c r="E3" s="6">
        <v>3</v>
      </c>
      <c r="F3" s="25">
        <v>10</v>
      </c>
      <c r="H3" s="25">
        <f>SUMIF($C$16:$C$64,C3,$H$16:$H$64)</f>
        <v>3354</v>
      </c>
      <c r="I3" s="8">
        <f>SUMIF($C$16:$C$64,C3,$AF$16:$AF$64)/(SUMIF($C$16:$C$64,C3,$AF$16:$AF$64)+SUMIF($C$16:$C$64,C3,$AG$16:$AG$64))</f>
        <v>0.68336314847942758</v>
      </c>
      <c r="J3" s="6">
        <f>((SUMIF($C$16:$C$64,C3,$V$16:$V$64)+SUMIF($C$16:$C$64,C3,$X$16:$X$64)/2)/SUMIF($C$16:$C$64,C3,$W$16:$W$64))</f>
        <v>3.1874636839047064</v>
      </c>
      <c r="K3" s="40">
        <f>SUMIF($C$16:$C$64,C3,$Y$16:$Y$64)/SUMIF($C$16:$C$64,C3,$AH$16:$AH$64)</f>
        <v>7858.7671110838046</v>
      </c>
      <c r="L3" s="6">
        <f>SUMIF($C$16:$C$64,C3,$AC$16:$AC$64)/SUMIF($C$16:$C$64,C3,$AH$16:$AH$64)</f>
        <v>8.2360530842958954E-2</v>
      </c>
      <c r="M3" s="6">
        <f>SUMIF($C$16:$C$64,C3,$U$16:$U$64)/SUMIF($C$16:$C$64,C3,$AH$16:$AH$64)</f>
        <v>346.58011796510198</v>
      </c>
      <c r="O3" s="10">
        <f>ROUNDUP(((D3-1)*SUMIF($C$16:$C$64,C3,$AF$16:$AF$64)+D2*SUMIF($C$16:$C$64,C3,$AG$16:$AG$64))/(1-D3),0)</f>
        <v>186</v>
      </c>
      <c r="Q3" s="10">
        <f>ROUNDUP(E3*SUMIF($C$16:$C$64,C3,$W$16:$W$64)-SUMIF($C$16:$C$64,C3,$V$16:$V$64)-SUMIF($C$16:$C$64,C3,$X$16:$X$64)/2,0)</f>
        <v>-3872</v>
      </c>
      <c r="R3" s="6">
        <f>IF(AND(O3&gt;0,Q3&gt;0),Q3/O3,(IF(AND(O3&lt;=0,Q3&gt;0),Q3,0)))</f>
        <v>0</v>
      </c>
      <c r="AH3" s="32">
        <f>SUMIF($C$16:$C$64,C3,$AH$16:$AH$64)</f>
        <v>32552</v>
      </c>
      <c r="AI3" s="39">
        <f>IF(AH3&gt;0,AH3/1440," ")</f>
        <v>22.605555555555554</v>
      </c>
      <c r="AK3" s="6">
        <f>SUMIF($C$16:$C$64,C3,$V$16:$V$64)/SUMIF($C$16:$C$64,C3,$AH$16:$AH$64)</f>
        <v>1.4984025559105432</v>
      </c>
      <c r="AL3" s="6">
        <f>SUMIF($C$16:$C$64,C3,$W$16:$W$64)/SUMIF($C$16:$C$64,C3,$AH$16:$AH$64)</f>
        <v>0.63443106414352424</v>
      </c>
      <c r="AM3" s="6">
        <f>SUMIF($C$16:$C$64,C3,$X$16:$X$64)/SUMIF($C$16:$C$64,C3,$AH$16:$AH$64)</f>
        <v>1.0476468419759155</v>
      </c>
      <c r="AN3" s="8">
        <f>SUMIF($C$16:$C$64,C3,$Z$16:$Z$64)/SUMIF($C$16:$C$64,C3,$Y16:$Y$64)</f>
        <v>0.89674316745405214</v>
      </c>
      <c r="AO3" s="8">
        <f>(SUMIF($C$16:$C$64,C3,$Y16:$Y$64)-SUMIF($C$16:$C$64,C3,$Z16:$Z$64))/SUMIF($C$16:$C$64,C3,$Y16:$Y$64)</f>
        <v>0.10325683254594788</v>
      </c>
      <c r="AP3" s="6">
        <f>SUMIF($C$16:$C$64,C3,$AA16:$AA$64)/SUMIF($C$16:$C$64,C3,$AH16:$AH$64)</f>
        <v>3278.8983472597688</v>
      </c>
      <c r="AQ3" s="6">
        <f>SUMIF($C$16:$C$64,C3,$AE16:$AE$64)/SUMIF($C$16:$C$64,C3,$AH16:$AH$64)</f>
        <v>1.7240722536249693</v>
      </c>
      <c r="AR3" s="6">
        <f>SUMIF($C$16:$C$64,C3,$AB16:$AB$64)/SUMIF($C$16:$C$64,C3,$AH16:$AH$64)</f>
        <v>20.909744408945688</v>
      </c>
      <c r="AT3" s="40">
        <f>(SUMIF($C$16:$C$64,C3,$AC16:$AC$64)+SUMIF($C$16:$C$64,C3,$AD16:$AD$64))/SUMIF($C$16:$C$64,C3,$AH16:$AH$64)</f>
        <v>291.04048906365199</v>
      </c>
    </row>
    <row r="4" spans="1:46" x14ac:dyDescent="0.25">
      <c r="A4" s="52"/>
      <c r="B4" s="6">
        <f>J4*(LOG(H4))*I4</f>
        <v>7.5142502372156672</v>
      </c>
      <c r="C4" s="21" t="s">
        <v>40</v>
      </c>
      <c r="D4" s="8">
        <v>0.7</v>
      </c>
      <c r="E4" s="6">
        <v>3</v>
      </c>
      <c r="F4" s="25">
        <v>10</v>
      </c>
      <c r="H4" s="25">
        <f>SUMIF($C$16:$C$64,C4,$H$16:$H$64)</f>
        <v>322</v>
      </c>
      <c r="I4" s="8">
        <f>SUMIF($C$16:$C$64,C4,$AF$16:$AF$64)/(SUMIF($C$16:$C$64,C4,$AF$16:$AF$64)+SUMIF($C$16:$C$64,C4,$AG$16:$AG$64))</f>
        <v>0.77018633540372672</v>
      </c>
      <c r="J4" s="6">
        <f>((SUMIF($C$16:$C$64,C4,$V$16:$V$64)+SUMIF($C$16:$C$64,C4,$X$16:$X$64)/2)/SUMIF($C$16:$C$64,C4,$W$16:$W$64))</f>
        <v>3.8903374233128836</v>
      </c>
      <c r="K4" s="40">
        <f>SUMIF($C$16:$C$64,C4,$Y$16:$Y$64)/SUMIF($C$16:$C$64,C4,$AH$16:$AH$64)</f>
        <v>4637.3807749627422</v>
      </c>
      <c r="L4" s="6">
        <f>SUMIF($C$16:$C$64,C4,$AC$16:$AC$64)/SUMIF($C$16:$C$64,C4,$AH$16:$AH$64)</f>
        <v>4354.5432190760057</v>
      </c>
      <c r="M4" s="6">
        <f>SUMIF($C$16:$C$64,C4,$U$16:$U$64)/SUMIF($C$16:$C$64,C4,$AH$16:$AH$64)</f>
        <v>393.15014903129656</v>
      </c>
      <c r="O4" s="10">
        <f>ROUNDUP(((D4-1)*SUMIF($C$16:$C$64,C4,$AF$16:$AF$64)+D3*SUMIF($C$16:$C$64,C4,$AG$16:$AG$64))/(1-D4),0)</f>
        <v>-76</v>
      </c>
      <c r="Q4" s="10">
        <f t="shared" ref="Q4:Q6" si="0">ROUNDUP(E4*SUMIF($C$16:$C$64,C4,$W$16:$W$64)-SUMIF($C$16:$C$64,C4,$V$16:$V$64)-SUMIF($C$16:$C$64,C4,$X$16:$X$64)/2,0)</f>
        <v>-1161</v>
      </c>
      <c r="R4" s="6">
        <f t="shared" ref="R4:R6" si="1">IF(AND(O4&gt;0,Q4&gt;0),Q4/O4,(IF(AND(O4&lt;=0,Q4&gt;0),Q4,0)))</f>
        <v>0</v>
      </c>
      <c r="AH4" s="32">
        <f t="shared" ref="AH4:AH6" si="2">SUMIF($C$16:$C$64,C4,$AH$16:$AH$64)</f>
        <v>2684</v>
      </c>
      <c r="AI4" s="39">
        <f t="shared" ref="AI4:AI6" si="3">IF(AH4&gt;0,AH4/1440," ")</f>
        <v>1.8638888888888889</v>
      </c>
      <c r="AK4" s="6">
        <f t="shared" ref="AK4:AK6" si="4">SUMIF($C$16:$C$64,C4,$V$16:$V$64)/SUMIF($C$16:$C$64,C4,$AH$16:$AH$64)</f>
        <v>0.81631892697466468</v>
      </c>
      <c r="AL4" s="6">
        <f t="shared" ref="AL4:AL6" si="5">SUMIF($C$16:$C$64,C4,$W$16:$W$64)/SUMIF($C$16:$C$64,C4,$AH$16:$AH$64)</f>
        <v>0.48584202682563338</v>
      </c>
      <c r="AM4" s="6">
        <f t="shared" ref="AM4:AM6" si="6">SUMIF($C$16:$C$64,C4,$X$16:$X$64)/SUMIF($C$16:$C$64,C4,$AH$16:$AH$64)</f>
        <v>2.1475409836065573</v>
      </c>
      <c r="AN4" s="5">
        <f>SUMIF($C$16:$C$64,C4,$Z$16:$Z$64)/SUMIF($C$16:$C$64,C4,$Y16:$Y$64)</f>
        <v>0.82454765227493487</v>
      </c>
      <c r="AO4" s="8">
        <f ca="1">(SUMIF($C$16:$C$64,C4,$Y18:$Y$64)-SUMIF($C$16:$C$64,C4,$Z18:$Z$64))/SUMIF($C$16:$C$64,C4,$Y18:$Y$64)</f>
        <v>0.11618101932816381</v>
      </c>
      <c r="AP4" s="6">
        <f ca="1">SUMIF($C$16:$C$64,C4,$AA18:$AA$64)/SUMIF($C$16:$C$64,C4,$AH18:$AH$64)</f>
        <v>6805.8258525852589</v>
      </c>
      <c r="AQ4" s="6">
        <f ca="1">SUMIF($C$16:$C$64,C4,$AE18:$AE$64)/SUMIF($C$16:$C$64,C4,$AH18:$AH$64)</f>
        <v>4.0434543454345437</v>
      </c>
      <c r="AR4" s="6">
        <f ca="1">SUMIF($C$16:$C$64,C4,$AB18:$AB$64)/SUMIF($C$16:$C$64,C4,$AH18:$AH$64)</f>
        <v>3132.5200220022002</v>
      </c>
      <c r="AT4" s="40">
        <f ca="1">(SUMIF($C$16:$C$64,C4,$AC18:$AC$64)+SUMIF($C$16:$C$64,C4,$AD18:$AD$64))/SUMIF($C$16:$C$64,C4,$AH18:$AH$64)</f>
        <v>726.6404840484048</v>
      </c>
    </row>
    <row r="5" spans="1:46" x14ac:dyDescent="0.25">
      <c r="A5" s="52"/>
      <c r="B5" s="6">
        <f>J5*(LOG(H5))*I5</f>
        <v>6.4209320815423254</v>
      </c>
      <c r="C5" s="21" t="s">
        <v>39</v>
      </c>
      <c r="D5" s="8">
        <v>0.7</v>
      </c>
      <c r="E5" s="6">
        <v>3</v>
      </c>
      <c r="F5" s="25">
        <v>10</v>
      </c>
      <c r="H5" s="25">
        <f>SUMIF($C$16:$C$64,C5,$H$16:$H$64)</f>
        <v>1385</v>
      </c>
      <c r="I5" s="8">
        <f>SUMIF($C$16:$C$64,C5,$AF$16:$AF$64)/(SUMIF($C$16:$C$64,C5,$AF$16:$AF$64)+SUMIF($C$16:$C$64,C5,$AG$16:$AG$64))</f>
        <v>0.71696750902527073</v>
      </c>
      <c r="J5" s="6">
        <f>((SUMIF($C$16:$C$64,C5,$V$16:$V$64)+SUMIF($C$16:$C$64,C5,$X$16:$X$64)/2)/SUMIF($C$16:$C$64,C5,$W$16:$W$64))</f>
        <v>2.8508113590263693</v>
      </c>
      <c r="K5" s="40">
        <f>SUMIF($C$16:$C$64,C5,$Y$16:$Y$64)/SUMIF($C$16:$C$64,C5,$AH$16:$AH$64)</f>
        <v>6925.8299760747086</v>
      </c>
      <c r="L5" s="6">
        <f>SUMIF($C$16:$C$64,C5,$AC$16:$AC$64)/SUMIF($C$16:$C$64,C5,$AH$16:$AH$64)</f>
        <v>36.773713050860536</v>
      </c>
      <c r="M5" s="6">
        <f>SUMIF($C$16:$C$64,C5,$U$16:$U$64)/SUMIF($C$16:$C$64,C5,$AH$16:$AH$64)</f>
        <v>365.46330169020609</v>
      </c>
      <c r="O5" s="10">
        <f>ROUNDUP(((D5-1)*SUMIF($C$16:$C$64,C5,$AF$16:$AF$64)+D4*SUMIF($C$16:$C$64,C5,$AG$16:$AG$64))/(1-D5),0)</f>
        <v>-79</v>
      </c>
      <c r="Q5" s="10">
        <f t="shared" si="0"/>
        <v>1471</v>
      </c>
      <c r="R5" s="6">
        <f t="shared" si="1"/>
        <v>1471</v>
      </c>
      <c r="AH5" s="32">
        <f t="shared" si="2"/>
        <v>12957</v>
      </c>
      <c r="AI5" s="39">
        <f t="shared" si="3"/>
        <v>8.9979166666666668</v>
      </c>
      <c r="AK5" s="6">
        <f t="shared" si="4"/>
        <v>1.6804044146021455</v>
      </c>
      <c r="AL5" s="6">
        <f t="shared" si="5"/>
        <v>0.76097862159450491</v>
      </c>
      <c r="AM5" s="6">
        <f t="shared" si="6"/>
        <v>0.97800416763139619</v>
      </c>
      <c r="AN5" s="8">
        <f ca="1">SUMIF($C$16:$C$64,C5,$Z$16:$Z$64)/SUMIF($C$16:$C$64,C5,$Y19:$Y$64)</f>
        <v>1.0161069327912393</v>
      </c>
      <c r="AO5" s="8">
        <f ca="1">(SUMIF($C$16:$C$64,C5,$Y19:$Y$64)-SUMIF($C$16:$C$64,C5,$Z19:$Z$64))/SUMIF($C$16:$C$64,C5,$Y19:$Y$64)</f>
        <v>0.15543735961194199</v>
      </c>
      <c r="AP5" s="6">
        <f ca="1">SUMIF($C$16:$C$64,C5,$AA19:$AA$64)/SUMIF($C$16:$C$64,C5,$AH19:$AH$64)</f>
        <v>4564.7205526770294</v>
      </c>
      <c r="AQ5" s="6">
        <f ca="1">SUMIF($C$16:$C$64,C5,$AE19:$AE$64)/SUMIF($C$16:$C$64,C5,$AH19:$AH$64)</f>
        <v>4.3570811744386875</v>
      </c>
      <c r="AR5" s="6">
        <f ca="1">SUMIF($C$16:$C$64,C5,$AB19:$AB$64)/SUMIF($C$16:$C$64,C5,$AH19:$AH$64)</f>
        <v>590.28039723661482</v>
      </c>
      <c r="AT5" s="40">
        <f ca="1">(SUMIF($C$16:$C$64,C5,$AC19:$AC$64)+SUMIF($C$16:$C$64,C5,$AD19:$AD$64))/SUMIF($C$16:$C$64,C5,$AH19:$AH$64)</f>
        <v>905.85155440414508</v>
      </c>
    </row>
    <row r="6" spans="1:46" x14ac:dyDescent="0.25">
      <c r="A6" s="52"/>
      <c r="B6" s="6">
        <f>J6*(LOG(H6))*I6</f>
        <v>6.5430094017129479</v>
      </c>
      <c r="C6" s="21" t="s">
        <v>37</v>
      </c>
      <c r="D6" s="8">
        <v>0.7</v>
      </c>
      <c r="E6" s="6">
        <v>3</v>
      </c>
      <c r="F6" s="25">
        <v>10</v>
      </c>
      <c r="H6" s="25">
        <f>SUMIF($C$16:$C$64,C6,$H$16:$H$64)</f>
        <v>1421</v>
      </c>
      <c r="I6" s="8">
        <f>SUMIF($C$16:$C$64,C6,$AF$16:$AF$64)/(SUMIF($C$16:$C$64,C6,$AF$16:$AF$64)+SUMIF($C$16:$C$64,C6,$AG$16:$AG$64))</f>
        <v>0.69106263194933149</v>
      </c>
      <c r="J6" s="6">
        <f>((SUMIF($C$16:$C$64,C6,$V$16:$V$64)+SUMIF($C$16:$C$64,C6,$X$16:$X$64)/2)/SUMIF($C$16:$C$64,C6,$W$16:$W$64))</f>
        <v>3.003254102999434</v>
      </c>
      <c r="K6" s="40">
        <f>SUMIF($C$16:$C$64,C6,$Y$16:$Y$64)/SUMIF($C$16:$C$64,C6,$AH$16:$AH$64)</f>
        <v>5416.620620689655</v>
      </c>
      <c r="L6" s="6">
        <f>SUMIF($C$16:$C$64,C6,$AC$16:$AC$64)/SUMIF($C$16:$C$64,C6,$AH$16:$AH$64)</f>
        <v>77.288482758620688</v>
      </c>
      <c r="M6" s="6">
        <f>SUMIF($C$16:$C$64,C6,$U$16:$U$64)/SUMIF($C$16:$C$64,C6,$AH$16:$AH$64)</f>
        <v>325.61393103448273</v>
      </c>
      <c r="O6" s="10">
        <f>ROUNDUP(((D6-1)*SUMIF($C$16:$C$64,C6,$AF$16:$AF$64)+D5*SUMIF($C$16:$C$64,C6,$AG$16:$AG$64))/(1-D6),0)</f>
        <v>43</v>
      </c>
      <c r="Q6" s="10">
        <f t="shared" si="0"/>
        <v>-23</v>
      </c>
      <c r="R6" s="6">
        <f t="shared" si="1"/>
        <v>0</v>
      </c>
      <c r="AH6" s="32">
        <f t="shared" si="2"/>
        <v>14500</v>
      </c>
      <c r="AI6" s="39">
        <f t="shared" si="3"/>
        <v>10.069444444444445</v>
      </c>
      <c r="AK6" s="6">
        <f t="shared" si="4"/>
        <v>0.82227586206896552</v>
      </c>
      <c r="AL6" s="6">
        <f t="shared" si="5"/>
        <v>0.48744827586206896</v>
      </c>
      <c r="AM6" s="6">
        <f t="shared" si="6"/>
        <v>1.2833103448275862</v>
      </c>
      <c r="AN6" s="8">
        <f ca="1">SUMIF($C$16:$C$64,C6,$Z$16:$Z$64)/SUMIF($C$16:$C$64,C6,$Y20:$Y$64)</f>
        <v>0.67268416915838825</v>
      </c>
      <c r="AO6" s="8">
        <f ca="1">(SUMIF($C$16:$C$64,C6,$Y20:$Y$64)-SUMIF($C$16:$C$64,C6,$Z20:$Z$64))/SUMIF($C$16:$C$64,C6,$Y20:$Y$64)</f>
        <v>0.10163654142039141</v>
      </c>
      <c r="AP6" s="6">
        <f ca="1">SUMIF($C$16:$C$64,C6,$AA20:$AA$64)/SUMIF($C$16:$C$64,C6,$AH20:$AH$64)</f>
        <v>4806.5309086316856</v>
      </c>
      <c r="AQ6" s="6">
        <f ca="1">SUMIF($C$16:$C$64,C6,$AE20:$AE$64)/SUMIF($C$16:$C$64,C6,$AH20:$AH$64)</f>
        <v>2.5747932057839238</v>
      </c>
      <c r="AR6" s="6">
        <f ca="1">SUMIF($C$16:$C$64,C6,$AB20:$AB$64)/SUMIF($C$16:$C$64,C6,$AH20:$AH$64)</f>
        <v>884.89202500473573</v>
      </c>
      <c r="AT6" s="40">
        <f ca="1">(SUMIF($C$16:$C$64,C6,$AC20:$AC$64)+SUMIF($C$16:$C$64,C6,$AD20:$AD$64))/SUMIF($C$16:$C$64,C6,$AH20:$AH$64)</f>
        <v>704.33699564311428</v>
      </c>
    </row>
    <row r="7" spans="1:46" ht="5.25" customHeight="1" thickBot="1" x14ac:dyDescent="0.3">
      <c r="A7" s="8"/>
      <c r="B7" s="6"/>
      <c r="C7" s="21"/>
      <c r="D7" s="8"/>
      <c r="E7" s="6"/>
      <c r="F7" s="25"/>
      <c r="H7" s="25"/>
      <c r="K7" s="40"/>
      <c r="AT7" s="40"/>
    </row>
    <row r="8" spans="1:46" s="8" customFormat="1" ht="16.5" thickTop="1" thickBot="1" x14ac:dyDescent="0.3">
      <c r="A8" s="53" t="s">
        <v>99</v>
      </c>
      <c r="B8" s="6">
        <f t="shared" ref="B8:B14" si="7">J8*(LOG(H8))*I8</f>
        <v>7.27968541635616</v>
      </c>
      <c r="C8" s="22" t="s">
        <v>65</v>
      </c>
      <c r="D8" s="41">
        <v>0.7</v>
      </c>
      <c r="E8" s="42">
        <v>3</v>
      </c>
      <c r="F8" s="43">
        <v>20</v>
      </c>
      <c r="H8" s="25">
        <f>SUMIF($D$16:$D$64,"*"&amp;C8&amp;"*",$H$16:$H$64)</f>
        <v>3470</v>
      </c>
      <c r="I8" s="8">
        <f>SUMIF($D$16:$D$64,"*"&amp;C8&amp;"*",$AF$16:$AF$64)/(SUMIF($D$16:$D$64,"*"&amp;C8&amp;"*",$AF$16:$AF$64)+SUMIF($D$16:$D$64,"*"&amp;C8&amp;"*",$AG$16:$AG$64))</f>
        <v>0.68357348703170029</v>
      </c>
      <c r="J8" s="6">
        <f>(SUMIF($D$16:$D$64,"*"&amp;C8&amp;"*",$V$16:$V$64)+SUMIF($D$16:$D$64,"*"&amp;C8&amp;"*",$X$16:$X$64)/2)/SUMIF($D$16:$D$64,"*"&amp;C8&amp;"*",$W$16:$W$64)</f>
        <v>3.0080407923122179</v>
      </c>
      <c r="K8" s="40">
        <f>SUMIF($D$16:$D$64,"*"&amp;C8&amp;"*",$Y$16:$Y$64)/SUMIF($D$16:$D$64,"*"&amp;C8&amp;"*",$AH$16:$AH$64)</f>
        <v>6686.1680396795982</v>
      </c>
      <c r="L8" s="6">
        <f>SUMIF($D$16:$D$64,"*"&amp;C8&amp;"*",$AC$16:$AC$64)/SUMIF($D$16:$D$64,"*"&amp;C8&amp;"*",$AH$16:$AH$64)</f>
        <v>134.7229269405091</v>
      </c>
      <c r="M8" s="6">
        <f>SUMIF($D$16:$D$64,"*"&amp;C8&amp;"*",$U$16:$U$64)/SUMIF($D$16:$D$64,"*"&amp;C8&amp;"*",$AH$16:$AH$64)</f>
        <v>331.09657649439868</v>
      </c>
      <c r="O8" s="45">
        <f>((D8-1)*SUMIF($D$16:$D$64,"*"&amp;C8&amp;"*",$AF$16:$AF$64)+D8*SUMIF($D$16:$D$64,"*"&amp;C8&amp;"*",$AG$16:$AG$64))/(1-D8)</f>
        <v>189.9999999999992</v>
      </c>
      <c r="P8" s="25"/>
      <c r="Q8" s="45">
        <f>E8*SUMIF($D$16:$D$64,"*"&amp;C8&amp;"*",$W$16:$W$64)-SUMIF($D$16:$D$64,"*"&amp;C8&amp;"*",$V$16:$V$64)-SUMIF($D$16:$D$64,"*"&amp;C8&amp;"*",$X$16:$X$64)/2</f>
        <v>-164</v>
      </c>
      <c r="R8" s="6">
        <f>IF(AND(O8&gt;0,Q8&gt;0),Q8/O8,(IF(AND(O8&lt;=0,Q8&gt;0),Q8,0)))</f>
        <v>0</v>
      </c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>
        <f ca="1">SUMIF($D$16:$E$64,"*"&amp;C8&amp;"*",$AH$16:$AH$64)</f>
        <v>35105.361805555563</v>
      </c>
      <c r="AI8" s="39">
        <f t="shared" ref="AI8:AI14" ca="1" si="8">IF(AH8&gt;0,AH8/1440," ")</f>
        <v>24.378723476080253</v>
      </c>
      <c r="AK8" s="6">
        <f>SUMIF($D$16:$D$64,"*"&amp;C8&amp;"*",$V$16:$V$64)/SUMIF($D$16:$D$64,"*"&amp;C8&amp;"*",$AH$16:$AH$64)</f>
        <v>1.1964596220176165</v>
      </c>
      <c r="AL8" s="6">
        <f>SUMIF($D$16:$D$64,"*"&amp;C8&amp;"*",$W$16:$W$64)/SUMIF($D$16:$D$64,"*"&amp;C8&amp;"*",$AH$16:$AH$64)</f>
        <v>0.58139733759014856</v>
      </c>
      <c r="AM8" s="6">
        <f>SUMIF($D$16:$D$64,"*"&amp;C8&amp;"*",$X$16:$X$64)/SUMIF($D$16:$D$64,"*"&amp;C8&amp;"*",$AH$16:$AH$64)</f>
        <v>1.1048145719905362</v>
      </c>
      <c r="AN8" s="8">
        <f>SUMIF($D$16:$D$64,"*"&amp;C8&amp;"*",$Z$16:$Z$64)/SUMIF($D$16:$D$64,"*"&amp;C8&amp;"*",$Y$16:$Y$64)</f>
        <v>0.90854142559123285</v>
      </c>
      <c r="AO8" s="8">
        <f>(SUMIF($D$16:$D$64,"*"&amp;C8&amp;"*",$Y$16:$Y$64)-SUMIF($D$16:$D$64,"*"&amp;C8&amp;"*",$Z$16:$Z$64))/SUMIF($D$16:$D$64,"*"&amp;C8&amp;"*",$Y$16:$Y$64)</f>
        <v>9.145857440876716E-2</v>
      </c>
      <c r="AP8" s="6">
        <f>SUMIF($D$16:$D$64,"*"&amp;C8&amp;"*",$AA$16:$AA$64)/SUMIF($D$16:$D$64,"*"&amp;C8&amp;"*",$AH$16:$AH$64)</f>
        <v>4745.9282517602123</v>
      </c>
      <c r="AQ8" s="6">
        <f>SUMIF($D$16:$D$64,"*"&amp;C8&amp;"*",$AE$16:$AE$64)/SUMIF($D$16:$D$64,"*"&amp;C8&amp;"*",$AH$16:$AH$64)</f>
        <v>3.3242780992560075</v>
      </c>
      <c r="AR8" s="6">
        <f>SUMIF($D$16:$D$64,"*"&amp;C8&amp;"*",$AB$16:$AB$64)/SUMIF($D$16:$D$64,"*"&amp;C8&amp;"*",$AH$16:$AH$64)</f>
        <v>1249.9161939511416</v>
      </c>
      <c r="AS8" s="6"/>
      <c r="AT8" s="6">
        <f>(SUMIF($D$16:$D$64,"*"&amp;C8&amp;"*",$AC$16:$AC$64)+SUMIF($D$16:$D$64,"*"&amp;C8&amp;"*",$AD$16:$AD$64))/SUMIF($D$16:$D$64,"*"&amp;C8&amp;"*",$AH$16:$AH$64)</f>
        <v>554.78478378609509</v>
      </c>
    </row>
    <row r="9" spans="1:46" s="8" customFormat="1" ht="16.5" thickTop="1" thickBot="1" x14ac:dyDescent="0.3">
      <c r="A9" s="53"/>
      <c r="B9" s="6">
        <f t="shared" si="7"/>
        <v>7.9503267502266404</v>
      </c>
      <c r="C9" s="22" t="s">
        <v>64</v>
      </c>
      <c r="D9" s="41">
        <v>0.7</v>
      </c>
      <c r="E9" s="42">
        <v>3</v>
      </c>
      <c r="F9" s="43">
        <v>20</v>
      </c>
      <c r="H9" s="25">
        <f t="shared" ref="H9:H14" si="9">SUMIF($D$16:$D$64,"*"&amp;C9&amp;"*",$H$16:$H$64)</f>
        <v>3162</v>
      </c>
      <c r="I9" s="8">
        <f t="shared" ref="I9:I14" si="10">SUMIF($D$16:$D$64,"*"&amp;C9&amp;"*",$AF$16:$AF$64)/(SUMIF($D$16:$D$64,"*"&amp;C9&amp;"*",$AF$16:$AF$64)+SUMIF($D$16:$D$64,"*"&amp;C9&amp;"*",$AG$16:$AG$64))</f>
        <v>0.71410499683744466</v>
      </c>
      <c r="J9" s="6">
        <f t="shared" ref="J9:J14" si="11">(SUMIF($D$16:$D$64,"*"&amp;C9&amp;"*",$V$16:$V$64)+SUMIF($D$16:$D$64,"*"&amp;C9&amp;"*",$X$16:$X$64)/2)/SUMIF($D$16:$D$64,"*"&amp;C9&amp;"*",$W$16:$W$64)</f>
        <v>3.1809701492537314</v>
      </c>
      <c r="K9" s="40">
        <f t="shared" ref="K9:K14" si="12">SUMIF($D$16:$D$64,"*"&amp;C9&amp;"*",$Y$16:$Y$64)/SUMIF($D$16:$D$64,"*"&amp;C9&amp;"*",$AH$16:$AH$64)</f>
        <v>7227.6760529810344</v>
      </c>
      <c r="L9" s="6">
        <f t="shared" ref="L9:L14" si="13">SUMIF($D$16:$D$64,"*"&amp;C9&amp;"*",$AC$16:$AC$64)/SUMIF($D$16:$D$64,"*"&amp;C9&amp;"*",$AH$16:$AH$64)</f>
        <v>291.41404201709287</v>
      </c>
      <c r="M9" s="6">
        <f t="shared" ref="M9:M14" si="14">SUMIF($D$16:$D$64,"*"&amp;C9&amp;"*",$U$16:$U$64)/SUMIF($D$16:$D$64,"*"&amp;C9&amp;"*",$AH$16:$AH$64)</f>
        <v>364.26684599407537</v>
      </c>
      <c r="O9" s="45">
        <f>((D9-1)*SUMIF($D$16:$D$64,"*"&amp;C9&amp;"*",$AF$16:$AF$64)+D9*SUMIF($D$16:$D$64,"*"&amp;C9&amp;"*",$AG$16:$AG$64))/(1-D9)</f>
        <v>-148.66666666666711</v>
      </c>
      <c r="P9" s="25"/>
      <c r="Q9" s="45">
        <f t="shared" ref="Q9:Q14" si="15">E9*SUMIF($D$16:$D$64,"*"&amp;C9&amp;"*",$W$16:$W$64)-SUMIF($D$16:$D$64,"*"&amp;C9&amp;"*",$V$16:$V$64)-SUMIF($D$16:$D$64,"*"&amp;C9&amp;"*",$X$16:$X$64)/2</f>
        <v>-3492</v>
      </c>
      <c r="R9" s="6">
        <f t="shared" ref="R9:R14" si="16">IF(AND(O9&gt;0,Q9&gt;0),Q9/O9,(IF(AND(O9&lt;=0,Q9&gt;0),Q9,0)))</f>
        <v>0</v>
      </c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>
        <f t="shared" ref="AH9:AH14" ca="1" si="17">SUMIF($D$16:$E$64,"*"&amp;C9&amp;"*",$AH$16:$AH$64)</f>
        <v>29389.395138888889</v>
      </c>
      <c r="AI9" s="39">
        <f t="shared" ca="1" si="8"/>
        <v>20.40930217978395</v>
      </c>
      <c r="AK9" s="6">
        <f t="shared" ref="AK9:AK14" si="18">SUMIF($D$16:$D$64,"*"&amp;C9&amp;"*",$V$16:$V$64)/SUMIF($D$16:$D$64,"*"&amp;C9&amp;"*",$AH$16:$AH$64)</f>
        <v>1.49542034117607</v>
      </c>
      <c r="AL9" s="6">
        <f t="shared" ref="AL9:AL14" si="19">SUMIF($D$16:$D$64,"*"&amp;C9&amp;"*",$W$16:$W$64)/SUMIF($D$16:$D$64,"*"&amp;C9&amp;"*",$AH$16:$AH$64)</f>
        <v>0.65701930607102732</v>
      </c>
      <c r="AM9" s="6">
        <f t="shared" ref="AM9:AM14" si="20">SUMIF($D$16:$D$64,"*"&amp;C9&amp;"*",$X$16:$X$64)/SUMIF($D$16:$D$64,"*"&amp;C9&amp;"*",$AH$16:$AH$64)</f>
        <v>1.1890769178385372</v>
      </c>
      <c r="AN9" s="8">
        <f t="shared" ref="AN9:AN14" si="21">SUMIF($D$16:$D$64,"*"&amp;C9&amp;"*",$Z$16:$Z$64)/SUMIF($D$16:$D$64,"*"&amp;C9&amp;"*",$Y$16:$Y$64)</f>
        <v>0.89055577421352872</v>
      </c>
      <c r="AO9" s="8">
        <f t="shared" ref="AO9:AO14" si="22">(SUMIF($D$16:$D$64,"*"&amp;C9&amp;"*",$Y$16:$Y$64)-SUMIF($D$16:$D$64,"*"&amp;C9&amp;"*",$Z$16:$Z$64))/SUMIF($D$16:$D$64,"*"&amp;C9&amp;"*",$Y$16:$Y$64)</f>
        <v>0.10944422578647124</v>
      </c>
      <c r="AP9" s="6">
        <f t="shared" ref="AP9:AP14" si="23">SUMIF($D$16:$D$64,"*"&amp;C9&amp;"*",$AA$16:$AA$64)/SUMIF($D$16:$D$64,"*"&amp;C9&amp;"*",$AH$16:$AH$64)</f>
        <v>3970.7676802070209</v>
      </c>
      <c r="AQ9" s="6">
        <f t="shared" ref="AQ9:AQ14" si="24">SUMIF($D$16:$D$64,"*"&amp;C9&amp;"*",$AE$16:$AE$64)/SUMIF($D$16:$D$64,"*"&amp;C9&amp;"*",$AH$16:$AH$64)</f>
        <v>2.6378834825836766</v>
      </c>
      <c r="AR9" s="6">
        <f t="shared" ref="AR9:AR14" si="25">SUMIF($D$16:$D$64,"*"&amp;C9&amp;"*",$AB$16:$AB$64)/SUMIF($D$16:$D$64,"*"&amp;C9&amp;"*",$AH$16:$AH$64)</f>
        <v>441.25479246824881</v>
      </c>
      <c r="AS9" s="6"/>
      <c r="AT9" s="6">
        <f t="shared" ref="AT9:AT14" si="26">(SUMIF($D$16:$D$64,"*"&amp;C9&amp;"*",$AC$16:$AC$64)+SUMIF($D$16:$D$64,"*"&amp;C9&amp;"*",$AD$16:$AD$64))/SUMIF($D$16:$D$64,"*"&amp;C9&amp;"*",$AH$16:$AH$64)</f>
        <v>787.06809901596921</v>
      </c>
    </row>
    <row r="10" spans="1:46" s="8" customFormat="1" ht="16.5" thickTop="1" thickBot="1" x14ac:dyDescent="0.3">
      <c r="A10" s="53"/>
      <c r="B10" s="6">
        <f t="shared" si="7"/>
        <v>6.4543856202418075</v>
      </c>
      <c r="C10" s="22" t="s">
        <v>66</v>
      </c>
      <c r="D10" s="41">
        <v>0.7</v>
      </c>
      <c r="E10" s="42">
        <v>3</v>
      </c>
      <c r="F10" s="43">
        <v>20</v>
      </c>
      <c r="H10" s="25">
        <f t="shared" si="9"/>
        <v>619</v>
      </c>
      <c r="I10" s="8">
        <f t="shared" si="10"/>
        <v>0.7334410339256866</v>
      </c>
      <c r="J10" s="6">
        <f t="shared" si="11"/>
        <v>3.1522627737226276</v>
      </c>
      <c r="K10" s="40">
        <f t="shared" si="12"/>
        <v>6106.1474379632609</v>
      </c>
      <c r="L10" s="6">
        <f t="shared" si="13"/>
        <v>290.60199806638735</v>
      </c>
      <c r="M10" s="6">
        <f t="shared" si="14"/>
        <v>342.4479535932968</v>
      </c>
      <c r="O10" s="45">
        <f t="shared" ref="O10:O14" si="27">((D10-1)*SUMIF($D$16:$D$64,"*"&amp;C10&amp;"*",$AF$16:$AF$64)+D10*SUMIF($D$16:$D$64,"*"&amp;C10&amp;"*",$AG$16:$AG$64))/(1-D10)</f>
        <v>-69.000000000000099</v>
      </c>
      <c r="P10" s="25"/>
      <c r="Q10" s="45">
        <f t="shared" si="15"/>
        <v>-521.5</v>
      </c>
      <c r="R10" s="6">
        <f t="shared" si="16"/>
        <v>0</v>
      </c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>
        <f t="shared" ca="1" si="17"/>
        <v>6206</v>
      </c>
      <c r="AI10" s="39">
        <f t="shared" ca="1" si="8"/>
        <v>4.3097222222222218</v>
      </c>
      <c r="AK10" s="6">
        <f t="shared" si="18"/>
        <v>1.1719303899452143</v>
      </c>
      <c r="AL10" s="6">
        <f t="shared" si="19"/>
        <v>0.55188527231711249</v>
      </c>
      <c r="AM10" s="6">
        <f t="shared" si="20"/>
        <v>1.1355140186915889</v>
      </c>
      <c r="AN10" s="8">
        <f t="shared" si="21"/>
        <v>0.9461649187244956</v>
      </c>
      <c r="AO10" s="8">
        <f t="shared" si="22"/>
        <v>5.3835081275504355E-2</v>
      </c>
      <c r="AP10" s="6">
        <f t="shared" si="23"/>
        <v>5528.7553980019338</v>
      </c>
      <c r="AQ10" s="6">
        <f t="shared" si="24"/>
        <v>4.0367386400257814</v>
      </c>
      <c r="AR10" s="6">
        <f t="shared" si="25"/>
        <v>1603.6084434418306</v>
      </c>
      <c r="AS10" s="6"/>
      <c r="AT10" s="6">
        <f t="shared" si="26"/>
        <v>881.31098936513047</v>
      </c>
    </row>
    <row r="11" spans="1:46" s="8" customFormat="1" ht="16.5" thickTop="1" thickBot="1" x14ac:dyDescent="0.3">
      <c r="A11" s="53"/>
      <c r="B11" s="6">
        <f t="shared" si="7"/>
        <v>6.0090320880089187</v>
      </c>
      <c r="C11" s="22" t="s">
        <v>62</v>
      </c>
      <c r="D11" s="41">
        <v>0.7</v>
      </c>
      <c r="E11" s="42">
        <v>3</v>
      </c>
      <c r="F11" s="43">
        <v>20</v>
      </c>
      <c r="H11" s="25">
        <f t="shared" si="9"/>
        <v>1220</v>
      </c>
      <c r="I11" s="8">
        <f t="shared" si="10"/>
        <v>0.66065573770491803</v>
      </c>
      <c r="J11" s="6">
        <f t="shared" si="11"/>
        <v>2.9470177664974617</v>
      </c>
      <c r="K11" s="40">
        <f t="shared" si="12"/>
        <v>7175.3548029751546</v>
      </c>
      <c r="L11" s="6">
        <f t="shared" si="13"/>
        <v>0</v>
      </c>
      <c r="M11" s="6">
        <f t="shared" si="14"/>
        <v>314.97626206678274</v>
      </c>
      <c r="O11" s="45">
        <f t="shared" si="27"/>
        <v>159.99999999999969</v>
      </c>
      <c r="P11" s="25"/>
      <c r="Q11" s="45">
        <f t="shared" si="15"/>
        <v>417.5</v>
      </c>
      <c r="R11" s="6">
        <f t="shared" si="16"/>
        <v>2.6093750000000049</v>
      </c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>
        <f t="shared" ca="1" si="17"/>
        <v>12638</v>
      </c>
      <c r="AI11" s="39">
        <f t="shared" ca="1" si="8"/>
        <v>8.7763888888888886</v>
      </c>
      <c r="AK11" s="6">
        <f t="shared" si="18"/>
        <v>1.3778287703750594</v>
      </c>
      <c r="AL11" s="6">
        <f t="shared" si="19"/>
        <v>0.62351637917391989</v>
      </c>
      <c r="AM11" s="6">
        <f t="shared" si="20"/>
        <v>0.91937015350530149</v>
      </c>
      <c r="AN11" s="8">
        <f t="shared" si="21"/>
        <v>0.9553782336000165</v>
      </c>
      <c r="AO11" s="8">
        <f t="shared" si="22"/>
        <v>4.4621766399983484E-2</v>
      </c>
      <c r="AP11" s="6">
        <f t="shared" si="23"/>
        <v>3123.5553885108402</v>
      </c>
      <c r="AQ11" s="6">
        <f t="shared" si="24"/>
        <v>1.4325051432188638</v>
      </c>
      <c r="AR11" s="6">
        <f t="shared" si="25"/>
        <v>0.57287545497705328</v>
      </c>
      <c r="AS11" s="6"/>
      <c r="AT11" s="6">
        <f t="shared" si="26"/>
        <v>235.40599778445957</v>
      </c>
    </row>
    <row r="12" spans="1:46" s="8" customFormat="1" ht="16.5" thickTop="1" thickBot="1" x14ac:dyDescent="0.3">
      <c r="A12" s="53"/>
      <c r="B12" s="6">
        <f t="shared" si="7"/>
        <v>4.0115672150996797</v>
      </c>
      <c r="C12" s="22" t="s">
        <v>67</v>
      </c>
      <c r="D12" s="41">
        <v>0.7</v>
      </c>
      <c r="E12" s="42">
        <v>3</v>
      </c>
      <c r="F12" s="43">
        <v>20</v>
      </c>
      <c r="H12" s="25">
        <f t="shared" si="9"/>
        <v>58</v>
      </c>
      <c r="I12" s="8">
        <f t="shared" si="10"/>
        <v>0.7068965517241379</v>
      </c>
      <c r="J12" s="6">
        <f t="shared" si="11"/>
        <v>3.2181069958847734</v>
      </c>
      <c r="K12" s="40">
        <f t="shared" si="12"/>
        <v>4887.3715277777774</v>
      </c>
      <c r="L12" s="6">
        <f t="shared" si="13"/>
        <v>0</v>
      </c>
      <c r="M12" s="6">
        <f t="shared" si="14"/>
        <v>349.140625</v>
      </c>
      <c r="O12" s="45">
        <f t="shared" si="27"/>
        <v>-1.3333333333333461</v>
      </c>
      <c r="P12" s="25"/>
      <c r="Q12" s="45">
        <f t="shared" si="15"/>
        <v>-53</v>
      </c>
      <c r="R12" s="6">
        <f t="shared" si="16"/>
        <v>0</v>
      </c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>
        <f t="shared" ca="1" si="17"/>
        <v>576</v>
      </c>
      <c r="AI12" s="39">
        <f t="shared" ca="1" si="8"/>
        <v>0.4</v>
      </c>
      <c r="AK12" s="6">
        <f t="shared" si="18"/>
        <v>0.90625</v>
      </c>
      <c r="AL12" s="6">
        <f t="shared" si="19"/>
        <v>0.421875</v>
      </c>
      <c r="AM12" s="6">
        <f t="shared" si="20"/>
        <v>0.90277777777777779</v>
      </c>
      <c r="AN12" s="8">
        <f t="shared" si="21"/>
        <v>0.44026484072116134</v>
      </c>
      <c r="AO12" s="8">
        <f t="shared" si="22"/>
        <v>0.55973515927883866</v>
      </c>
      <c r="AP12" s="6">
        <f t="shared" si="23"/>
        <v>7351.921875</v>
      </c>
      <c r="AQ12" s="6">
        <f t="shared" si="24"/>
        <v>11.447916666666666</v>
      </c>
      <c r="AR12" s="6">
        <f t="shared" si="25"/>
        <v>0</v>
      </c>
      <c r="AS12" s="6"/>
      <c r="AT12" s="6">
        <f t="shared" si="26"/>
        <v>1357.6805555555557</v>
      </c>
    </row>
    <row r="13" spans="1:46" s="8" customFormat="1" ht="16.5" thickTop="1" thickBot="1" x14ac:dyDescent="0.3">
      <c r="A13" s="53"/>
      <c r="B13" s="6">
        <f t="shared" si="7"/>
        <v>7.6228335953200057</v>
      </c>
      <c r="C13" s="22" t="s">
        <v>63</v>
      </c>
      <c r="D13" s="41">
        <v>0.7</v>
      </c>
      <c r="E13" s="42">
        <v>3</v>
      </c>
      <c r="F13" s="43">
        <v>20</v>
      </c>
      <c r="H13" s="25">
        <f t="shared" si="9"/>
        <v>3407</v>
      </c>
      <c r="I13" s="8">
        <f t="shared" si="10"/>
        <v>0.70120340475491638</v>
      </c>
      <c r="J13" s="6">
        <f t="shared" si="11"/>
        <v>3.0775560632197307</v>
      </c>
      <c r="K13" s="40">
        <f t="shared" si="12"/>
        <v>7356.6364673594626</v>
      </c>
      <c r="L13" s="6">
        <f t="shared" si="13"/>
        <v>165.34037435628605</v>
      </c>
      <c r="M13" s="6">
        <f t="shared" si="14"/>
        <v>353.74849671590243</v>
      </c>
      <c r="O13" s="45">
        <f t="shared" si="27"/>
        <v>-13.666666666667499</v>
      </c>
      <c r="P13" s="25"/>
      <c r="Q13" s="45">
        <f t="shared" si="15"/>
        <v>-1663.5</v>
      </c>
      <c r="R13" s="6">
        <f t="shared" si="16"/>
        <v>0</v>
      </c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>
        <f t="shared" ca="1" si="17"/>
        <v>32429</v>
      </c>
      <c r="AI13" s="39">
        <f t="shared" ca="1" si="8"/>
        <v>22.520138888888887</v>
      </c>
      <c r="AK13" s="6">
        <f t="shared" si="18"/>
        <v>1.4675136451941164</v>
      </c>
      <c r="AL13" s="6">
        <f t="shared" si="19"/>
        <v>0.66141416633260353</v>
      </c>
      <c r="AM13" s="6">
        <f t="shared" si="20"/>
        <v>1.136051065404422</v>
      </c>
      <c r="AN13" s="8">
        <f t="shared" si="21"/>
        <v>0.90229682339608108</v>
      </c>
      <c r="AO13" s="8">
        <f t="shared" si="22"/>
        <v>9.7703176603918862E-2</v>
      </c>
      <c r="AP13" s="6">
        <f t="shared" si="23"/>
        <v>4077.7458139319747</v>
      </c>
      <c r="AQ13" s="6">
        <f t="shared" si="24"/>
        <v>2.1243331585926177</v>
      </c>
      <c r="AR13" s="6">
        <f t="shared" si="25"/>
        <v>614.95204909186225</v>
      </c>
      <c r="AS13" s="6"/>
      <c r="AT13" s="6">
        <f t="shared" si="26"/>
        <v>560.06389342872126</v>
      </c>
    </row>
    <row r="14" spans="1:46" s="8" customFormat="1" ht="16.5" thickTop="1" thickBot="1" x14ac:dyDescent="0.3">
      <c r="A14" s="53"/>
      <c r="B14" s="6">
        <f t="shared" si="7"/>
        <v>7.4580101838302948</v>
      </c>
      <c r="C14" s="22" t="s">
        <v>91</v>
      </c>
      <c r="D14" s="41">
        <v>0.7</v>
      </c>
      <c r="E14" s="42">
        <v>3</v>
      </c>
      <c r="F14" s="43">
        <v>20</v>
      </c>
      <c r="H14" s="25">
        <f t="shared" si="9"/>
        <v>1327</v>
      </c>
      <c r="I14" s="8">
        <f t="shared" si="10"/>
        <v>0.70836473247927656</v>
      </c>
      <c r="J14" s="6">
        <f t="shared" si="11"/>
        <v>3.3714133900106269</v>
      </c>
      <c r="K14" s="40">
        <f t="shared" si="12"/>
        <v>6096.3577141914739</v>
      </c>
      <c r="L14" s="6">
        <f t="shared" si="13"/>
        <v>771.66446771666529</v>
      </c>
      <c r="M14" s="6">
        <f t="shared" si="14"/>
        <v>372.51018388719388</v>
      </c>
      <c r="O14" s="45">
        <f t="shared" si="27"/>
        <v>-37.000000000000263</v>
      </c>
      <c r="P14" s="25"/>
      <c r="Q14" s="45">
        <f t="shared" si="15"/>
        <v>-2446.5</v>
      </c>
      <c r="R14" s="6">
        <f t="shared" si="16"/>
        <v>0</v>
      </c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>
        <f t="shared" ca="1" si="17"/>
        <v>12127</v>
      </c>
      <c r="AI14" s="39">
        <f t="shared" ca="1" si="8"/>
        <v>8.4215277777777775</v>
      </c>
      <c r="AK14" s="6">
        <f t="shared" si="18"/>
        <v>1.1128061350705039</v>
      </c>
      <c r="AL14" s="6">
        <f t="shared" si="19"/>
        <v>0.5431681372144801</v>
      </c>
      <c r="AM14" s="6">
        <f t="shared" si="20"/>
        <v>1.4368763915230478</v>
      </c>
      <c r="AN14" s="8">
        <f t="shared" si="21"/>
        <v>0.80267632329972471</v>
      </c>
      <c r="AO14" s="8">
        <f t="shared" si="22"/>
        <v>0.19732367670027526</v>
      </c>
      <c r="AP14" s="6">
        <f t="shared" si="23"/>
        <v>5572.7646573761031</v>
      </c>
      <c r="AQ14" s="6">
        <f t="shared" si="24"/>
        <v>5.6070751216294221</v>
      </c>
      <c r="AR14" s="6">
        <f t="shared" si="25"/>
        <v>1467.1314422363321</v>
      </c>
      <c r="AS14" s="6"/>
      <c r="AT14" s="6">
        <f t="shared" si="26"/>
        <v>1554.6427805722767</v>
      </c>
    </row>
    <row r="15" spans="1:46" s="5" customFormat="1" ht="15.75" thickTop="1" x14ac:dyDescent="0.25">
      <c r="A15" s="2" t="s">
        <v>60</v>
      </c>
      <c r="B15" s="3" t="s">
        <v>77</v>
      </c>
      <c r="C15" s="23" t="s">
        <v>55</v>
      </c>
      <c r="D15" s="1" t="s">
        <v>87</v>
      </c>
      <c r="E15" s="3" t="s">
        <v>69</v>
      </c>
      <c r="F15" s="3" t="s">
        <v>68</v>
      </c>
      <c r="G15" s="18"/>
      <c r="H15" s="3" t="s">
        <v>59</v>
      </c>
      <c r="I15" s="1" t="s">
        <v>61</v>
      </c>
      <c r="J15" s="2" t="s">
        <v>46</v>
      </c>
      <c r="K15" s="2" t="s">
        <v>84</v>
      </c>
      <c r="L15" s="2" t="s">
        <v>83</v>
      </c>
      <c r="M15" s="2" t="s">
        <v>71</v>
      </c>
      <c r="N15" s="18"/>
      <c r="O15" s="3" t="s">
        <v>57</v>
      </c>
      <c r="P15" s="3" t="s">
        <v>86</v>
      </c>
      <c r="Q15" s="3" t="s">
        <v>58</v>
      </c>
      <c r="R15" s="2" t="s">
        <v>70</v>
      </c>
      <c r="S15" s="18"/>
      <c r="T15" s="19" t="s">
        <v>93</v>
      </c>
      <c r="U15" s="35" t="s">
        <v>72</v>
      </c>
      <c r="V15" s="35" t="s">
        <v>43</v>
      </c>
      <c r="W15" s="35" t="s">
        <v>44</v>
      </c>
      <c r="X15" s="35" t="s">
        <v>45</v>
      </c>
      <c r="Y15" s="35" t="s">
        <v>38</v>
      </c>
      <c r="Z15" s="35" t="s">
        <v>94</v>
      </c>
      <c r="AA15" s="35" t="s">
        <v>95</v>
      </c>
      <c r="AB15" s="35" t="s">
        <v>96</v>
      </c>
      <c r="AC15" s="35" t="s">
        <v>97</v>
      </c>
      <c r="AD15" s="35" t="s">
        <v>98</v>
      </c>
      <c r="AE15" s="35" t="s">
        <v>100</v>
      </c>
      <c r="AF15" s="35" t="s">
        <v>41</v>
      </c>
      <c r="AG15" s="35" t="s">
        <v>42</v>
      </c>
      <c r="AH15" s="36" t="s">
        <v>101</v>
      </c>
      <c r="AI15" s="38" t="s">
        <v>73</v>
      </c>
      <c r="AJ15" s="18"/>
      <c r="AK15" s="2" t="s">
        <v>74</v>
      </c>
      <c r="AL15" s="2" t="s">
        <v>75</v>
      </c>
      <c r="AM15" s="2" t="s">
        <v>76</v>
      </c>
      <c r="AN15" s="1" t="s">
        <v>81</v>
      </c>
      <c r="AO15" s="1" t="s">
        <v>82</v>
      </c>
      <c r="AP15" s="2" t="s">
        <v>103</v>
      </c>
      <c r="AQ15" s="2" t="s">
        <v>85</v>
      </c>
      <c r="AR15" s="2" t="s">
        <v>104</v>
      </c>
      <c r="AS15" s="18"/>
      <c r="AT15" s="2" t="s">
        <v>102</v>
      </c>
    </row>
    <row r="16" spans="1:46" ht="15" customHeight="1" x14ac:dyDescent="0.25">
      <c r="A16" s="6">
        <f t="shared" ref="A16:A47" si="28">IF(H16=" "," ",(((M16*LOG(H16)^10)/(LOG(H16)^10+9))*(((J16*I16*LOG(H16)^10)/(LOG(H16)^10+9))/(12.8))))</f>
        <v>0.95064139660493829</v>
      </c>
      <c r="B16" s="7" t="s">
        <v>110</v>
      </c>
      <c r="C16" s="22" t="s">
        <v>37</v>
      </c>
      <c r="D16" s="13" t="str">
        <f t="shared" ref="D16:D49" si="29">E16&amp;" "&amp;F16</f>
        <v>Projectile Tracking</v>
      </c>
      <c r="E16" s="4" t="s">
        <v>65</v>
      </c>
      <c r="F16" s="4" t="s">
        <v>91</v>
      </c>
      <c r="H16" s="32">
        <f t="shared" ref="H16:H47" si="30">IF(ISBLANK(AF16)," ",AF16+AG16)</f>
        <v>10</v>
      </c>
      <c r="I16" s="8">
        <f t="shared" ref="I16:I47" si="31">IF(ISBLANK(AF16),"",AF16/(AF16+AG16))</f>
        <v>1</v>
      </c>
      <c r="J16" s="9">
        <f t="shared" ref="J16:J47" si="32">IF(ISBLANK(V16)," ",(V16+X16/2)/W16)</f>
        <v>3.125</v>
      </c>
      <c r="K16" s="40">
        <f t="shared" ref="K16:K47" si="33">IF(Y16&gt;0,Y16/AH16," ")</f>
        <v>4660.358024691358</v>
      </c>
      <c r="L16" s="40" t="str">
        <f t="shared" ref="L16:L47" si="34">IF(AC16&gt;0,(AC16)/AH16," ")</f>
        <v xml:space="preserve"> </v>
      </c>
      <c r="M16" s="40">
        <f t="shared" ref="M16:M47" si="35">IF(U16&gt;0,U16/AH16," ")</f>
        <v>389.38271604938274</v>
      </c>
      <c r="O16" s="10">
        <f t="shared" ref="O16:O47" si="36">IF(ISBLANK(AF16)," ",IF((P16+H16)&lt;=SUMIF($C$2:$C$6,C16,$F$2:$F$6),SUMIF($C$2:$C$6,C16,$F$2:$F$6)-H16,P16))</f>
        <v>0</v>
      </c>
      <c r="P16" s="10">
        <f t="shared" ref="P16:P47" si="37">IF(ISBLANK(AF16)," ",_xlfn.CEILING.MATH(((SUMIF($C$2:$C$6,C16,$D$2:$D$6)-1)*AF16+SUMIF($C$2:$C$6,C16,$D$2:$D$6)*AG16)/(1-SUMIF($C$2:$C$6,C16,$D$2:$D$6))))</f>
        <v>-10</v>
      </c>
      <c r="Q16" s="10">
        <f t="shared" ref="Q16:Q47" si="38">IF(ISBLANK(V16)," ",_xlfn.CEILING.MATH(SUMIF($C$2:$C$6,C16,$E$2:$E$6)*W16-V16-X16/2))</f>
        <v>-5</v>
      </c>
      <c r="R16" s="9">
        <f t="shared" ref="R16:R47" si="39">IF(AND(O16&gt;0,Q16&gt;0),Q16/O16,(IF(AND(O16&lt;=0,Q16&gt;0),Q16,0)))</f>
        <v>0</v>
      </c>
      <c r="T16" s="5" t="s">
        <v>133</v>
      </c>
      <c r="U16" s="32">
        <v>31540</v>
      </c>
      <c r="V16" s="32">
        <v>61</v>
      </c>
      <c r="W16" s="32">
        <v>40</v>
      </c>
      <c r="X16" s="37">
        <v>128</v>
      </c>
      <c r="Y16" s="37">
        <v>377489</v>
      </c>
      <c r="Z16" s="37">
        <v>226866</v>
      </c>
      <c r="AA16" s="37">
        <v>732445</v>
      </c>
      <c r="AB16" s="37">
        <v>33727</v>
      </c>
      <c r="AC16" s="37">
        <v>0</v>
      </c>
      <c r="AD16" s="37">
        <v>167274</v>
      </c>
      <c r="AE16" s="37">
        <v>1019</v>
      </c>
      <c r="AF16" s="32">
        <v>10</v>
      </c>
      <c r="AG16" s="32">
        <v>0</v>
      </c>
      <c r="AH16" s="37">
        <v>81</v>
      </c>
      <c r="AI16" s="39">
        <f t="shared" ref="AI16:AI47" si="40">IF(AH16&gt;0,AH16/1440," ")</f>
        <v>5.6250000000000001E-2</v>
      </c>
      <c r="AK16" s="9">
        <f t="shared" ref="AK16:AK47" si="41">IF(V16&gt;0,V16/AH16," ")</f>
        <v>0.75308641975308643</v>
      </c>
      <c r="AL16" s="9">
        <f t="shared" ref="AL16:AL47" si="42">IF(W16&gt;0,W16/AH16," ")</f>
        <v>0.49382716049382713</v>
      </c>
      <c r="AM16" s="6">
        <f t="shared" ref="AM16:AM47" si="43">IF(X16&gt;0,X16/AH16," ")</f>
        <v>1.5802469135802468</v>
      </c>
      <c r="AN16" s="8">
        <f t="shared" ref="AN16:AN47" si="44">IF(Y16&gt;0,Z16/Y16," ")</f>
        <v>0.60098704862923158</v>
      </c>
      <c r="AO16" s="8">
        <f t="shared" ref="AO16:AO47" si="45">IF(Y16&gt;0,(Y16-Z16)/Y16," ")</f>
        <v>0.39901295137076842</v>
      </c>
      <c r="AP16" s="40">
        <f t="shared" ref="AP16:AP47" si="46">IF(AA16&gt;0,AA16/AH16," ")</f>
        <v>9042.5308641975316</v>
      </c>
      <c r="AQ16" s="40">
        <f t="shared" ref="AQ16:AQ47" si="47">IF(AE16&gt;0,AE16/AH16," ")</f>
        <v>12.580246913580247</v>
      </c>
      <c r="AR16" s="40">
        <f t="shared" ref="AR16:AR47" si="48">IF(AB16&gt;0,AB16/AH16," ")</f>
        <v>416.38271604938274</v>
      </c>
      <c r="AS16" s="40"/>
      <c r="AT16" s="40">
        <f t="shared" ref="AT16:AT47" si="49">IF(ISBLANK(AH16)," ",(AC16+AD16)/AH16)</f>
        <v>2065.1111111111113</v>
      </c>
    </row>
    <row r="17" spans="1:46" ht="15" customHeight="1" x14ac:dyDescent="0.25">
      <c r="A17" s="6">
        <f t="shared" si="28"/>
        <v>1.0505090645032054</v>
      </c>
      <c r="B17" s="7" t="s">
        <v>105</v>
      </c>
      <c r="C17" s="22" t="s">
        <v>39</v>
      </c>
      <c r="D17" s="13" t="str">
        <f t="shared" si="29"/>
        <v>Projectile Repeater</v>
      </c>
      <c r="E17" s="4" t="s">
        <v>65</v>
      </c>
      <c r="F17" s="4" t="s">
        <v>63</v>
      </c>
      <c r="H17" s="32">
        <f t="shared" si="30"/>
        <v>10</v>
      </c>
      <c r="I17" s="8">
        <f t="shared" si="31"/>
        <v>0.8</v>
      </c>
      <c r="J17" s="9">
        <f t="shared" si="32"/>
        <v>3.2403846153846154</v>
      </c>
      <c r="K17" s="40">
        <f t="shared" si="33"/>
        <v>8417.7638888888887</v>
      </c>
      <c r="L17" s="40" t="str">
        <f t="shared" si="34"/>
        <v xml:space="preserve"> </v>
      </c>
      <c r="M17" s="40">
        <f t="shared" si="35"/>
        <v>518.70833333333337</v>
      </c>
      <c r="O17" s="10">
        <f t="shared" si="36"/>
        <v>0</v>
      </c>
      <c r="P17" s="10">
        <f t="shared" si="37"/>
        <v>-3</v>
      </c>
      <c r="Q17" s="10">
        <f t="shared" si="38"/>
        <v>-12</v>
      </c>
      <c r="R17" s="9">
        <f t="shared" si="39"/>
        <v>0</v>
      </c>
      <c r="T17" s="5" t="s">
        <v>111</v>
      </c>
      <c r="U17" s="32">
        <v>37347</v>
      </c>
      <c r="V17" s="32">
        <v>106</v>
      </c>
      <c r="W17" s="32">
        <v>52</v>
      </c>
      <c r="X17" s="37">
        <v>125</v>
      </c>
      <c r="Y17" s="37">
        <v>606079</v>
      </c>
      <c r="Z17" s="37">
        <v>516095</v>
      </c>
      <c r="AA17" s="37">
        <v>372132</v>
      </c>
      <c r="AB17" s="37">
        <v>3450</v>
      </c>
      <c r="AC17" s="37">
        <v>0</v>
      </c>
      <c r="AD17" s="37">
        <v>88176</v>
      </c>
      <c r="AE17" s="37">
        <v>184</v>
      </c>
      <c r="AF17" s="32">
        <v>8</v>
      </c>
      <c r="AG17" s="32">
        <v>2</v>
      </c>
      <c r="AH17" s="37">
        <v>72</v>
      </c>
      <c r="AI17" s="39">
        <f t="shared" si="40"/>
        <v>0.05</v>
      </c>
      <c r="AK17" s="9">
        <f t="shared" si="41"/>
        <v>1.4722222222222223</v>
      </c>
      <c r="AL17" s="9">
        <f t="shared" si="42"/>
        <v>0.72222222222222221</v>
      </c>
      <c r="AM17" s="6">
        <f t="shared" si="43"/>
        <v>1.7361111111111112</v>
      </c>
      <c r="AN17" s="8">
        <f t="shared" si="44"/>
        <v>0.85153090603700177</v>
      </c>
      <c r="AO17" s="8">
        <f t="shared" si="45"/>
        <v>0.14846909396299823</v>
      </c>
      <c r="AP17" s="40">
        <f t="shared" si="46"/>
        <v>5168.5</v>
      </c>
      <c r="AQ17" s="40">
        <f t="shared" si="47"/>
        <v>2.5555555555555554</v>
      </c>
      <c r="AR17" s="40">
        <f t="shared" si="48"/>
        <v>47.916666666666664</v>
      </c>
      <c r="AS17" s="40"/>
      <c r="AT17" s="40">
        <f t="shared" si="49"/>
        <v>1224.6666666666667</v>
      </c>
    </row>
    <row r="18" spans="1:46" ht="15" customHeight="1" x14ac:dyDescent="0.25">
      <c r="A18" s="6">
        <f t="shared" si="28"/>
        <v>2.146203533496732</v>
      </c>
      <c r="B18" s="7" t="s">
        <v>49</v>
      </c>
      <c r="C18" s="22" t="s">
        <v>40</v>
      </c>
      <c r="D18" s="13" t="str">
        <f t="shared" si="29"/>
        <v>Projectile Repeater</v>
      </c>
      <c r="E18" s="4" t="s">
        <v>65</v>
      </c>
      <c r="F18" s="4" t="s">
        <v>63</v>
      </c>
      <c r="H18" s="32">
        <f t="shared" si="30"/>
        <v>10</v>
      </c>
      <c r="I18" s="8">
        <f t="shared" si="31"/>
        <v>1</v>
      </c>
      <c r="J18" s="9">
        <f t="shared" si="32"/>
        <v>5.5555555555555554</v>
      </c>
      <c r="K18" s="40">
        <f t="shared" si="33"/>
        <v>3819.4117647058824</v>
      </c>
      <c r="L18" s="40">
        <f t="shared" si="34"/>
        <v>6455</v>
      </c>
      <c r="M18" s="40">
        <f t="shared" si="35"/>
        <v>494.48529411764707</v>
      </c>
      <c r="O18" s="10">
        <f t="shared" si="36"/>
        <v>0</v>
      </c>
      <c r="P18" s="10">
        <f t="shared" si="37"/>
        <v>-10</v>
      </c>
      <c r="Q18" s="10">
        <f t="shared" si="38"/>
        <v>-69</v>
      </c>
      <c r="R18" s="9">
        <f t="shared" si="39"/>
        <v>0</v>
      </c>
      <c r="T18" s="5" t="s">
        <v>107</v>
      </c>
      <c r="U18" s="32">
        <v>33625</v>
      </c>
      <c r="V18" s="32">
        <v>63</v>
      </c>
      <c r="W18" s="32">
        <v>27</v>
      </c>
      <c r="X18" s="37">
        <v>174</v>
      </c>
      <c r="Y18" s="37">
        <v>259720</v>
      </c>
      <c r="Z18" s="37">
        <v>245442</v>
      </c>
      <c r="AA18" s="37">
        <v>166280</v>
      </c>
      <c r="AB18" s="37">
        <v>0</v>
      </c>
      <c r="AC18" s="37">
        <v>438940</v>
      </c>
      <c r="AD18" s="37">
        <v>62597</v>
      </c>
      <c r="AE18" s="37">
        <v>275</v>
      </c>
      <c r="AF18" s="32">
        <v>10</v>
      </c>
      <c r="AG18" s="32">
        <v>0</v>
      </c>
      <c r="AH18" s="37">
        <v>68</v>
      </c>
      <c r="AI18" s="39">
        <f t="shared" si="40"/>
        <v>4.7222222222222221E-2</v>
      </c>
      <c r="AK18" s="9">
        <f t="shared" si="41"/>
        <v>0.92647058823529416</v>
      </c>
      <c r="AL18" s="9">
        <f t="shared" si="42"/>
        <v>0.39705882352941174</v>
      </c>
      <c r="AM18" s="6">
        <f t="shared" si="43"/>
        <v>2.5588235294117645</v>
      </c>
      <c r="AN18" s="8">
        <f t="shared" si="44"/>
        <v>0.94502541198213463</v>
      </c>
      <c r="AO18" s="8">
        <f t="shared" si="45"/>
        <v>5.4974588017865395E-2</v>
      </c>
      <c r="AP18" s="40">
        <f t="shared" si="46"/>
        <v>2445.294117647059</v>
      </c>
      <c r="AQ18" s="40">
        <f t="shared" si="47"/>
        <v>4.0441176470588234</v>
      </c>
      <c r="AR18" s="40" t="str">
        <f t="shared" si="48"/>
        <v xml:space="preserve"> </v>
      </c>
      <c r="AS18" s="40"/>
      <c r="AT18" s="40">
        <f t="shared" si="49"/>
        <v>7375.5441176470586</v>
      </c>
    </row>
    <row r="19" spans="1:46" ht="15" customHeight="1" x14ac:dyDescent="0.25">
      <c r="A19" s="6">
        <f t="shared" si="28"/>
        <v>9.1805705410633536</v>
      </c>
      <c r="B19" s="7" t="s">
        <v>32</v>
      </c>
      <c r="C19" s="22" t="s">
        <v>38</v>
      </c>
      <c r="D19" s="13" t="str">
        <f t="shared" si="29"/>
        <v>Projectile Arc</v>
      </c>
      <c r="E19" s="4" t="s">
        <v>65</v>
      </c>
      <c r="F19" s="4" t="s">
        <v>66</v>
      </c>
      <c r="H19" s="32">
        <f t="shared" si="30"/>
        <v>14</v>
      </c>
      <c r="I19" s="8">
        <f t="shared" si="31"/>
        <v>0.8571428571428571</v>
      </c>
      <c r="J19" s="9">
        <f t="shared" si="32"/>
        <v>3.1355932203389831</v>
      </c>
      <c r="K19" s="40">
        <f t="shared" si="33"/>
        <v>6247</v>
      </c>
      <c r="L19" s="40" t="str">
        <f t="shared" si="34"/>
        <v xml:space="preserve"> </v>
      </c>
      <c r="M19" s="40">
        <f t="shared" si="35"/>
        <v>476.42016806722688</v>
      </c>
      <c r="O19" s="10">
        <f t="shared" si="36"/>
        <v>-4</v>
      </c>
      <c r="P19" s="10">
        <f t="shared" si="37"/>
        <v>-7</v>
      </c>
      <c r="Q19" s="10">
        <f t="shared" si="38"/>
        <v>-8</v>
      </c>
      <c r="R19" s="9">
        <f t="shared" si="39"/>
        <v>0</v>
      </c>
      <c r="T19" s="5" t="s">
        <v>114</v>
      </c>
      <c r="U19" s="32">
        <v>56694</v>
      </c>
      <c r="V19" s="32">
        <v>137</v>
      </c>
      <c r="W19" s="32">
        <v>59</v>
      </c>
      <c r="X19" s="37">
        <v>96</v>
      </c>
      <c r="Y19" s="37">
        <v>743393</v>
      </c>
      <c r="Z19" s="37">
        <v>462194</v>
      </c>
      <c r="AA19" s="37">
        <v>400058</v>
      </c>
      <c r="AB19" s="37">
        <v>31363</v>
      </c>
      <c r="AC19" s="37">
        <v>0</v>
      </c>
      <c r="AD19" s="37">
        <v>135408</v>
      </c>
      <c r="AE19" s="37">
        <v>1563</v>
      </c>
      <c r="AF19" s="32">
        <v>12</v>
      </c>
      <c r="AG19" s="32">
        <v>2</v>
      </c>
      <c r="AH19" s="37">
        <v>119</v>
      </c>
      <c r="AI19" s="39">
        <f t="shared" si="40"/>
        <v>8.2638888888888887E-2</v>
      </c>
      <c r="AK19" s="9">
        <f t="shared" si="41"/>
        <v>1.1512605042016806</v>
      </c>
      <c r="AL19" s="9">
        <f t="shared" si="42"/>
        <v>0.49579831932773111</v>
      </c>
      <c r="AM19" s="6">
        <f t="shared" si="43"/>
        <v>0.80672268907563027</v>
      </c>
      <c r="AN19" s="8">
        <f t="shared" si="44"/>
        <v>0.62173574408152887</v>
      </c>
      <c r="AO19" s="8">
        <f t="shared" si="45"/>
        <v>0.37826425591847113</v>
      </c>
      <c r="AP19" s="40">
        <f t="shared" si="46"/>
        <v>3361.8319327731092</v>
      </c>
      <c r="AQ19" s="40">
        <f t="shared" si="47"/>
        <v>13.134453781512605</v>
      </c>
      <c r="AR19" s="40">
        <f t="shared" si="48"/>
        <v>263.55462184873949</v>
      </c>
      <c r="AS19" s="40"/>
      <c r="AT19" s="40">
        <f t="shared" si="49"/>
        <v>1137.8823529411766</v>
      </c>
    </row>
    <row r="20" spans="1:46" ht="15" customHeight="1" x14ac:dyDescent="0.25">
      <c r="A20" s="6">
        <f t="shared" si="28"/>
        <v>12.516428053849035</v>
      </c>
      <c r="B20" s="7" t="s">
        <v>14</v>
      </c>
      <c r="C20" s="22" t="s">
        <v>40</v>
      </c>
      <c r="D20" s="13" t="str">
        <f t="shared" si="29"/>
        <v>Projectile Repeater</v>
      </c>
      <c r="E20" s="4" t="s">
        <v>65</v>
      </c>
      <c r="F20" s="4" t="s">
        <v>63</v>
      </c>
      <c r="H20" s="32">
        <f t="shared" si="30"/>
        <v>16</v>
      </c>
      <c r="I20" s="8">
        <f t="shared" si="31"/>
        <v>0.75</v>
      </c>
      <c r="J20" s="9">
        <f t="shared" si="32"/>
        <v>3.0481927710843375</v>
      </c>
      <c r="K20" s="40">
        <f t="shared" si="33"/>
        <v>3783.0287769784172</v>
      </c>
      <c r="L20" s="40">
        <f t="shared" si="34"/>
        <v>6294.035971223022</v>
      </c>
      <c r="M20" s="40">
        <f t="shared" si="35"/>
        <v>405.19424460431657</v>
      </c>
      <c r="O20" s="10">
        <f t="shared" si="36"/>
        <v>-2</v>
      </c>
      <c r="P20" s="10">
        <f t="shared" si="37"/>
        <v>-2</v>
      </c>
      <c r="Q20" s="10">
        <f t="shared" si="38"/>
        <v>-4</v>
      </c>
      <c r="R20" s="9">
        <f t="shared" si="39"/>
        <v>0</v>
      </c>
      <c r="T20" s="5" t="s">
        <v>106</v>
      </c>
      <c r="U20" s="32">
        <v>56322</v>
      </c>
      <c r="V20" s="32">
        <v>75</v>
      </c>
      <c r="W20" s="32">
        <v>83</v>
      </c>
      <c r="X20" s="37">
        <v>356</v>
      </c>
      <c r="Y20" s="37">
        <v>525841</v>
      </c>
      <c r="Z20" s="37">
        <v>391403</v>
      </c>
      <c r="AA20" s="37">
        <v>589414</v>
      </c>
      <c r="AB20" s="37">
        <v>0</v>
      </c>
      <c r="AC20" s="37">
        <v>874871</v>
      </c>
      <c r="AD20" s="37">
        <v>307481</v>
      </c>
      <c r="AE20" s="37">
        <v>1032</v>
      </c>
      <c r="AF20" s="32">
        <v>12</v>
      </c>
      <c r="AG20" s="32">
        <v>4</v>
      </c>
      <c r="AH20" s="37">
        <v>139</v>
      </c>
      <c r="AI20" s="39">
        <f t="shared" si="40"/>
        <v>9.6527777777777782E-2</v>
      </c>
      <c r="AK20" s="9">
        <f t="shared" si="41"/>
        <v>0.53956834532374098</v>
      </c>
      <c r="AL20" s="9">
        <f t="shared" si="42"/>
        <v>0.59712230215827333</v>
      </c>
      <c r="AM20" s="6">
        <f t="shared" si="43"/>
        <v>2.5611510791366907</v>
      </c>
      <c r="AN20" s="8">
        <f t="shared" si="44"/>
        <v>0.7443371665579519</v>
      </c>
      <c r="AO20" s="8">
        <f t="shared" si="45"/>
        <v>0.2556628334420481</v>
      </c>
      <c r="AP20" s="40">
        <f t="shared" si="46"/>
        <v>4240.3884892086335</v>
      </c>
      <c r="AQ20" s="40">
        <f t="shared" si="47"/>
        <v>7.4244604316546763</v>
      </c>
      <c r="AR20" s="40" t="str">
        <f t="shared" si="48"/>
        <v xml:space="preserve"> </v>
      </c>
      <c r="AS20" s="40"/>
      <c r="AT20" s="40">
        <f t="shared" si="49"/>
        <v>8506.1294964028784</v>
      </c>
    </row>
    <row r="21" spans="1:46" ht="15" customHeight="1" x14ac:dyDescent="0.25">
      <c r="A21" s="6">
        <f t="shared" si="28"/>
        <v>21.287001519290062</v>
      </c>
      <c r="B21" s="7" t="s">
        <v>120</v>
      </c>
      <c r="C21" s="22" t="s">
        <v>39</v>
      </c>
      <c r="D21" s="13" t="str">
        <f t="shared" si="29"/>
        <v>Projectile Tracking</v>
      </c>
      <c r="E21" s="4" t="s">
        <v>65</v>
      </c>
      <c r="F21" s="4" t="s">
        <v>91</v>
      </c>
      <c r="H21" s="32">
        <f t="shared" si="30"/>
        <v>17</v>
      </c>
      <c r="I21" s="8">
        <f t="shared" si="31"/>
        <v>0.82352941176470584</v>
      </c>
      <c r="J21" s="9">
        <f t="shared" si="32"/>
        <v>3.0841584158415842</v>
      </c>
      <c r="K21" s="40">
        <f t="shared" si="33"/>
        <v>7992.5625</v>
      </c>
      <c r="L21" s="40" t="str">
        <f t="shared" si="34"/>
        <v xml:space="preserve"> </v>
      </c>
      <c r="M21" s="40">
        <f t="shared" si="35"/>
        <v>487.3359375</v>
      </c>
      <c r="O21" s="10">
        <f t="shared" si="36"/>
        <v>-7</v>
      </c>
      <c r="P21" s="10">
        <f t="shared" si="37"/>
        <v>-7</v>
      </c>
      <c r="Q21" s="10">
        <f t="shared" si="38"/>
        <v>-8</v>
      </c>
      <c r="R21" s="9">
        <f t="shared" si="39"/>
        <v>0</v>
      </c>
      <c r="T21" s="5" t="s">
        <v>208</v>
      </c>
      <c r="U21" s="32">
        <v>62379</v>
      </c>
      <c r="V21" s="32">
        <v>224</v>
      </c>
      <c r="W21" s="32">
        <v>101</v>
      </c>
      <c r="X21" s="37">
        <v>175</v>
      </c>
      <c r="Y21" s="37">
        <v>1023048</v>
      </c>
      <c r="Z21" s="37">
        <v>885456</v>
      </c>
      <c r="AA21" s="37">
        <v>586071</v>
      </c>
      <c r="AB21" s="37">
        <v>0</v>
      </c>
      <c r="AC21" s="37">
        <v>0</v>
      </c>
      <c r="AD21" s="37">
        <v>93597</v>
      </c>
      <c r="AE21" s="37">
        <v>430</v>
      </c>
      <c r="AF21" s="32">
        <v>14</v>
      </c>
      <c r="AG21" s="32">
        <v>3</v>
      </c>
      <c r="AH21" s="37">
        <v>128</v>
      </c>
      <c r="AI21" s="39">
        <f t="shared" si="40"/>
        <v>8.8888888888888892E-2</v>
      </c>
      <c r="AK21" s="9">
        <f t="shared" si="41"/>
        <v>1.75</v>
      </c>
      <c r="AL21" s="9">
        <f t="shared" si="42"/>
        <v>0.7890625</v>
      </c>
      <c r="AM21" s="6">
        <f t="shared" si="43"/>
        <v>1.3671875</v>
      </c>
      <c r="AN21" s="8">
        <f t="shared" si="44"/>
        <v>0.86550777676120771</v>
      </c>
      <c r="AO21" s="8">
        <f t="shared" si="45"/>
        <v>0.13449222323879231</v>
      </c>
      <c r="AP21" s="40">
        <f t="shared" si="46"/>
        <v>4578.6796875</v>
      </c>
      <c r="AQ21" s="40">
        <f t="shared" si="47"/>
        <v>3.359375</v>
      </c>
      <c r="AR21" s="40" t="str">
        <f t="shared" si="48"/>
        <v xml:space="preserve"> </v>
      </c>
      <c r="AS21" s="40"/>
      <c r="AT21" s="40">
        <f t="shared" si="49"/>
        <v>731.2265625</v>
      </c>
    </row>
    <row r="22" spans="1:46" ht="15" customHeight="1" x14ac:dyDescent="0.25">
      <c r="A22" s="6">
        <f t="shared" si="28"/>
        <v>34.71519542359939</v>
      </c>
      <c r="B22" s="7" t="s">
        <v>0</v>
      </c>
      <c r="C22" s="22" t="s">
        <v>37</v>
      </c>
      <c r="D22" s="13" t="str">
        <f t="shared" si="29"/>
        <v>Projectile Tracking</v>
      </c>
      <c r="E22" s="4" t="s">
        <v>65</v>
      </c>
      <c r="F22" s="4" t="s">
        <v>91</v>
      </c>
      <c r="H22" s="32">
        <f t="shared" si="30"/>
        <v>99</v>
      </c>
      <c r="I22" s="8">
        <f t="shared" si="31"/>
        <v>0.6262626262626263</v>
      </c>
      <c r="J22" s="9">
        <f t="shared" si="32"/>
        <v>2.1819047619047618</v>
      </c>
      <c r="K22" s="40">
        <f t="shared" si="33"/>
        <v>4080.7148554336991</v>
      </c>
      <c r="L22" s="40" t="str">
        <f t="shared" si="34"/>
        <v xml:space="preserve"> </v>
      </c>
      <c r="M22" s="40">
        <f t="shared" si="35"/>
        <v>331.05882352941177</v>
      </c>
      <c r="O22" s="10">
        <f t="shared" si="36"/>
        <v>25</v>
      </c>
      <c r="P22" s="10">
        <f t="shared" si="37"/>
        <v>25</v>
      </c>
      <c r="Q22" s="10">
        <f t="shared" si="38"/>
        <v>430</v>
      </c>
      <c r="R22" s="9">
        <f t="shared" si="39"/>
        <v>17.2</v>
      </c>
      <c r="T22" s="5" t="s">
        <v>233</v>
      </c>
      <c r="U22" s="32">
        <v>332052</v>
      </c>
      <c r="V22" s="32">
        <v>534</v>
      </c>
      <c r="W22" s="32">
        <v>525</v>
      </c>
      <c r="X22" s="37">
        <v>1223</v>
      </c>
      <c r="Y22" s="37">
        <v>4092957</v>
      </c>
      <c r="Z22" s="37">
        <v>2354868</v>
      </c>
      <c r="AA22" s="37">
        <v>7886082</v>
      </c>
      <c r="AB22" s="37">
        <v>7118498</v>
      </c>
      <c r="AC22" s="37">
        <v>0</v>
      </c>
      <c r="AD22" s="37">
        <v>342653</v>
      </c>
      <c r="AE22" s="37">
        <v>6168</v>
      </c>
      <c r="AF22" s="32">
        <v>62</v>
      </c>
      <c r="AG22" s="32">
        <v>37</v>
      </c>
      <c r="AH22" s="37">
        <v>1003</v>
      </c>
      <c r="AI22" s="39">
        <f t="shared" si="40"/>
        <v>0.69652777777777775</v>
      </c>
      <c r="AK22" s="9">
        <f t="shared" si="41"/>
        <v>0.53240279162512461</v>
      </c>
      <c r="AL22" s="9">
        <f t="shared" si="42"/>
        <v>0.52342971086739776</v>
      </c>
      <c r="AM22" s="6">
        <f t="shared" si="43"/>
        <v>1.2193419740777667</v>
      </c>
      <c r="AN22" s="8">
        <f t="shared" si="44"/>
        <v>0.5753463816013703</v>
      </c>
      <c r="AO22" s="8">
        <f t="shared" si="45"/>
        <v>0.42465361839862964</v>
      </c>
      <c r="AP22" s="40">
        <f t="shared" si="46"/>
        <v>7862.494516450648</v>
      </c>
      <c r="AQ22" s="40">
        <f t="shared" si="47"/>
        <v>6.1495513459621138</v>
      </c>
      <c r="AR22" s="40">
        <f t="shared" si="48"/>
        <v>7097.2063808574276</v>
      </c>
      <c r="AS22" s="40"/>
      <c r="AT22" s="40">
        <f t="shared" si="49"/>
        <v>341.62811565304088</v>
      </c>
    </row>
    <row r="23" spans="1:46" ht="15" customHeight="1" x14ac:dyDescent="0.25">
      <c r="A23" s="6">
        <f t="shared" si="28"/>
        <v>37.039837168440584</v>
      </c>
      <c r="B23" s="7" t="s">
        <v>53</v>
      </c>
      <c r="C23" s="22" t="s">
        <v>37</v>
      </c>
      <c r="D23" s="13" t="str">
        <f t="shared" si="29"/>
        <v>Hitscan Tracking</v>
      </c>
      <c r="E23" s="4" t="s">
        <v>64</v>
      </c>
      <c r="F23" s="4" t="s">
        <v>91</v>
      </c>
      <c r="H23" s="32">
        <f t="shared" si="30"/>
        <v>23</v>
      </c>
      <c r="I23" s="8">
        <f t="shared" si="31"/>
        <v>0.73913043478260865</v>
      </c>
      <c r="J23" s="9">
        <f t="shared" si="32"/>
        <v>3.3611111111111112</v>
      </c>
      <c r="K23" s="40">
        <f t="shared" si="33"/>
        <v>5453.666666666667</v>
      </c>
      <c r="L23" s="40" t="str">
        <f t="shared" si="34"/>
        <v xml:space="preserve"> </v>
      </c>
      <c r="M23" s="40">
        <f t="shared" si="35"/>
        <v>379.69642857142856</v>
      </c>
      <c r="O23" s="10">
        <f t="shared" si="36"/>
        <v>-3</v>
      </c>
      <c r="P23" s="10">
        <f t="shared" si="37"/>
        <v>-3</v>
      </c>
      <c r="Q23" s="10">
        <f t="shared" si="38"/>
        <v>-32</v>
      </c>
      <c r="R23" s="9">
        <f t="shared" si="39"/>
        <v>0</v>
      </c>
      <c r="T23" s="5" t="s">
        <v>109</v>
      </c>
      <c r="U23" s="32">
        <v>63789</v>
      </c>
      <c r="V23" s="32">
        <v>155</v>
      </c>
      <c r="W23" s="32">
        <v>90</v>
      </c>
      <c r="X23" s="37">
        <v>295</v>
      </c>
      <c r="Y23" s="37">
        <v>916216</v>
      </c>
      <c r="Z23" s="37">
        <v>725962</v>
      </c>
      <c r="AA23" s="37">
        <v>2075289</v>
      </c>
      <c r="AB23" s="37">
        <v>0</v>
      </c>
      <c r="AC23" s="37">
        <v>0</v>
      </c>
      <c r="AD23" s="37">
        <v>350131</v>
      </c>
      <c r="AE23" s="37">
        <v>860</v>
      </c>
      <c r="AF23" s="32">
        <v>17</v>
      </c>
      <c r="AG23" s="32">
        <v>6</v>
      </c>
      <c r="AH23" s="37">
        <v>168</v>
      </c>
      <c r="AI23" s="39">
        <f t="shared" si="40"/>
        <v>0.11666666666666667</v>
      </c>
      <c r="AK23" s="9">
        <f t="shared" si="41"/>
        <v>0.92261904761904767</v>
      </c>
      <c r="AL23" s="9">
        <f t="shared" si="42"/>
        <v>0.5357142857142857</v>
      </c>
      <c r="AM23" s="6">
        <f t="shared" si="43"/>
        <v>1.7559523809523809</v>
      </c>
      <c r="AN23" s="8">
        <f t="shared" si="44"/>
        <v>0.79234809258952033</v>
      </c>
      <c r="AO23" s="8">
        <f t="shared" si="45"/>
        <v>0.20765190741047962</v>
      </c>
      <c r="AP23" s="40">
        <f t="shared" si="46"/>
        <v>12352.910714285714</v>
      </c>
      <c r="AQ23" s="40">
        <f t="shared" si="47"/>
        <v>5.1190476190476186</v>
      </c>
      <c r="AR23" s="40" t="str">
        <f t="shared" si="48"/>
        <v xml:space="preserve"> </v>
      </c>
      <c r="AS23" s="40"/>
      <c r="AT23" s="40">
        <f t="shared" si="49"/>
        <v>2084.1130952380954</v>
      </c>
    </row>
    <row r="24" spans="1:46" ht="15" customHeight="1" x14ac:dyDescent="0.25">
      <c r="A24" s="6">
        <f t="shared" si="28"/>
        <v>37.954395231851926</v>
      </c>
      <c r="B24" s="7" t="s">
        <v>2</v>
      </c>
      <c r="C24" s="22" t="s">
        <v>37</v>
      </c>
      <c r="D24" s="13" t="str">
        <f t="shared" si="29"/>
        <v>Projectile Tracking</v>
      </c>
      <c r="E24" s="4" t="s">
        <v>65</v>
      </c>
      <c r="F24" s="4" t="s">
        <v>91</v>
      </c>
      <c r="H24" s="32">
        <f t="shared" si="30"/>
        <v>237</v>
      </c>
      <c r="I24" s="8">
        <f t="shared" si="31"/>
        <v>0.61181434599156115</v>
      </c>
      <c r="J24" s="9">
        <f t="shared" si="32"/>
        <v>2.6285171102661598</v>
      </c>
      <c r="K24" s="40">
        <f t="shared" si="33"/>
        <v>5432.0992366412211</v>
      </c>
      <c r="L24" s="40" t="str">
        <f t="shared" si="34"/>
        <v xml:space="preserve"> </v>
      </c>
      <c r="M24" s="40">
        <f t="shared" si="35"/>
        <v>303.04770992366412</v>
      </c>
      <c r="O24" s="10">
        <f t="shared" si="36"/>
        <v>70</v>
      </c>
      <c r="P24" s="10">
        <f t="shared" si="37"/>
        <v>70</v>
      </c>
      <c r="Q24" s="10">
        <f t="shared" si="38"/>
        <v>489</v>
      </c>
      <c r="R24" s="9">
        <f t="shared" si="39"/>
        <v>6.9857142857142858</v>
      </c>
      <c r="T24" s="5" t="s">
        <v>234</v>
      </c>
      <c r="U24" s="32">
        <v>793985</v>
      </c>
      <c r="V24" s="32">
        <v>1880</v>
      </c>
      <c r="W24" s="32">
        <v>1315</v>
      </c>
      <c r="X24" s="37">
        <v>3153</v>
      </c>
      <c r="Y24" s="37">
        <v>14232100</v>
      </c>
      <c r="Z24" s="37">
        <v>12429875</v>
      </c>
      <c r="AA24" s="37">
        <v>20612494</v>
      </c>
      <c r="AB24" s="37">
        <v>3534817</v>
      </c>
      <c r="AC24" s="37">
        <v>0</v>
      </c>
      <c r="AD24" s="37">
        <v>1631741</v>
      </c>
      <c r="AE24" s="37">
        <v>20794</v>
      </c>
      <c r="AF24" s="32">
        <v>145</v>
      </c>
      <c r="AG24" s="32">
        <v>92</v>
      </c>
      <c r="AH24" s="37">
        <v>2620</v>
      </c>
      <c r="AI24" s="39">
        <f t="shared" si="40"/>
        <v>1.8194444444444444</v>
      </c>
      <c r="AK24" s="9">
        <f t="shared" si="41"/>
        <v>0.71755725190839692</v>
      </c>
      <c r="AL24" s="9">
        <f t="shared" si="42"/>
        <v>0.50190839694656486</v>
      </c>
      <c r="AM24" s="6">
        <f t="shared" si="43"/>
        <v>1.2034351145038167</v>
      </c>
      <c r="AN24" s="8">
        <f t="shared" si="44"/>
        <v>0.87336900387152983</v>
      </c>
      <c r="AO24" s="8">
        <f t="shared" si="45"/>
        <v>0.12663099612847015</v>
      </c>
      <c r="AP24" s="40">
        <f t="shared" si="46"/>
        <v>7867.3641221374046</v>
      </c>
      <c r="AQ24" s="40">
        <f t="shared" si="47"/>
        <v>7.936641221374046</v>
      </c>
      <c r="AR24" s="40">
        <f t="shared" si="48"/>
        <v>1349.1667938931298</v>
      </c>
      <c r="AS24" s="40"/>
      <c r="AT24" s="40">
        <f t="shared" si="49"/>
        <v>622.8019083969466</v>
      </c>
    </row>
    <row r="25" spans="1:46" ht="15" customHeight="1" x14ac:dyDescent="0.25">
      <c r="A25" s="6">
        <f t="shared" si="28"/>
        <v>39.905238999803551</v>
      </c>
      <c r="B25" s="7" t="s">
        <v>36</v>
      </c>
      <c r="C25" s="22" t="s">
        <v>38</v>
      </c>
      <c r="D25" s="13" t="str">
        <f t="shared" si="29"/>
        <v>Projectile Charge</v>
      </c>
      <c r="E25" s="4" t="s">
        <v>65</v>
      </c>
      <c r="F25" s="4" t="s">
        <v>62</v>
      </c>
      <c r="H25" s="32">
        <f t="shared" si="30"/>
        <v>768</v>
      </c>
      <c r="I25" s="8">
        <f t="shared" si="31"/>
        <v>0.6328125</v>
      </c>
      <c r="J25" s="9">
        <f t="shared" si="32"/>
        <v>2.7516519823788546</v>
      </c>
      <c r="K25" s="40">
        <f t="shared" si="33"/>
        <v>6980.7172324375297</v>
      </c>
      <c r="L25" s="40" t="str">
        <f t="shared" si="34"/>
        <v xml:space="preserve"> </v>
      </c>
      <c r="M25" s="40">
        <f t="shared" si="35"/>
        <v>293.47206506364921</v>
      </c>
      <c r="O25" s="10">
        <f t="shared" si="36"/>
        <v>172</v>
      </c>
      <c r="P25" s="10">
        <f t="shared" si="37"/>
        <v>172</v>
      </c>
      <c r="Q25" s="10">
        <f t="shared" si="38"/>
        <v>1353</v>
      </c>
      <c r="R25" s="9">
        <f t="shared" si="39"/>
        <v>7.8662790697674421</v>
      </c>
      <c r="T25" s="5" t="s">
        <v>227</v>
      </c>
      <c r="U25" s="32">
        <v>2489817</v>
      </c>
      <c r="V25" s="32">
        <v>11439</v>
      </c>
      <c r="W25" s="32">
        <v>5448</v>
      </c>
      <c r="X25" s="37">
        <v>7104</v>
      </c>
      <c r="Y25" s="37">
        <v>59224405</v>
      </c>
      <c r="Z25" s="37">
        <v>57619703</v>
      </c>
      <c r="AA25" s="37">
        <v>23854445</v>
      </c>
      <c r="AB25" s="37">
        <v>0</v>
      </c>
      <c r="AC25" s="37">
        <v>0</v>
      </c>
      <c r="AD25" s="37">
        <v>820589</v>
      </c>
      <c r="AE25" s="37">
        <v>8015</v>
      </c>
      <c r="AF25" s="32">
        <v>486</v>
      </c>
      <c r="AG25" s="32">
        <v>282</v>
      </c>
      <c r="AH25" s="37">
        <v>8484</v>
      </c>
      <c r="AI25" s="39">
        <f t="shared" si="40"/>
        <v>5.8916666666666666</v>
      </c>
      <c r="AK25" s="9">
        <f t="shared" si="41"/>
        <v>1.3483026874115982</v>
      </c>
      <c r="AL25" s="9">
        <f t="shared" si="42"/>
        <v>0.64214992927864212</v>
      </c>
      <c r="AM25" s="6">
        <f t="shared" si="43"/>
        <v>0.83734087694483739</v>
      </c>
      <c r="AN25" s="8">
        <f t="shared" si="44"/>
        <v>0.97290471723607863</v>
      </c>
      <c r="AO25" s="8">
        <f t="shared" si="45"/>
        <v>2.7095282763921393E-2</v>
      </c>
      <c r="AP25" s="40">
        <f t="shared" si="46"/>
        <v>2811.6979019330506</v>
      </c>
      <c r="AQ25" s="40">
        <f t="shared" si="47"/>
        <v>0.94471947194719474</v>
      </c>
      <c r="AR25" s="40" t="str">
        <f t="shared" si="48"/>
        <v xml:space="preserve"> </v>
      </c>
      <c r="AS25" s="40"/>
      <c r="AT25" s="40">
        <f t="shared" si="49"/>
        <v>96.721947194719476</v>
      </c>
    </row>
    <row r="26" spans="1:46" ht="15" customHeight="1" x14ac:dyDescent="0.25">
      <c r="A26" s="6">
        <f t="shared" si="28"/>
        <v>43.811464903726552</v>
      </c>
      <c r="B26" s="7" t="s">
        <v>3</v>
      </c>
      <c r="C26" s="22" t="s">
        <v>37</v>
      </c>
      <c r="D26" s="13" t="str">
        <f t="shared" si="29"/>
        <v>Hitscan Tracking</v>
      </c>
      <c r="E26" s="4" t="s">
        <v>64</v>
      </c>
      <c r="F26" s="4" t="s">
        <v>91</v>
      </c>
      <c r="H26" s="32">
        <f t="shared" si="30"/>
        <v>33</v>
      </c>
      <c r="I26" s="8">
        <f t="shared" si="31"/>
        <v>0.72727272727272729</v>
      </c>
      <c r="J26" s="9">
        <f t="shared" si="32"/>
        <v>3.1460396039603959</v>
      </c>
      <c r="K26" s="40">
        <f t="shared" si="33"/>
        <v>6206.8022922636101</v>
      </c>
      <c r="L26" s="40" t="str">
        <f t="shared" si="34"/>
        <v xml:space="preserve"> </v>
      </c>
      <c r="M26" s="40">
        <f t="shared" si="35"/>
        <v>317.4412607449857</v>
      </c>
      <c r="O26" s="10">
        <f t="shared" si="36"/>
        <v>-3</v>
      </c>
      <c r="P26" s="10">
        <f t="shared" si="37"/>
        <v>-3</v>
      </c>
      <c r="Q26" s="10">
        <f t="shared" si="38"/>
        <v>-29</v>
      </c>
      <c r="R26" s="9">
        <f t="shared" si="39"/>
        <v>0</v>
      </c>
      <c r="T26" s="5" t="s">
        <v>220</v>
      </c>
      <c r="U26" s="32">
        <v>110787</v>
      </c>
      <c r="V26" s="32">
        <v>397</v>
      </c>
      <c r="W26" s="32">
        <v>202</v>
      </c>
      <c r="X26" s="37">
        <v>477</v>
      </c>
      <c r="Y26" s="37">
        <v>2166174</v>
      </c>
      <c r="Z26" s="37">
        <v>1723727</v>
      </c>
      <c r="AA26" s="37">
        <v>2471800</v>
      </c>
      <c r="AB26" s="37">
        <v>922908</v>
      </c>
      <c r="AC26" s="37">
        <v>0</v>
      </c>
      <c r="AD26" s="37">
        <v>204835</v>
      </c>
      <c r="AE26" s="37">
        <v>927</v>
      </c>
      <c r="AF26" s="32">
        <v>24</v>
      </c>
      <c r="AG26" s="32">
        <v>9</v>
      </c>
      <c r="AH26" s="37">
        <v>349</v>
      </c>
      <c r="AI26" s="39">
        <f t="shared" si="40"/>
        <v>0.24236111111111111</v>
      </c>
      <c r="AK26" s="9">
        <f t="shared" si="41"/>
        <v>1.1375358166189111</v>
      </c>
      <c r="AL26" s="9">
        <f t="shared" si="42"/>
        <v>0.57879656160458448</v>
      </c>
      <c r="AM26" s="6">
        <f t="shared" si="43"/>
        <v>1.3667621776504297</v>
      </c>
      <c r="AN26" s="8">
        <f t="shared" si="44"/>
        <v>0.79574724837432265</v>
      </c>
      <c r="AO26" s="8">
        <f t="shared" si="45"/>
        <v>0.20425275162567735</v>
      </c>
      <c r="AP26" s="40">
        <f t="shared" si="46"/>
        <v>7082.5214899713465</v>
      </c>
      <c r="AQ26" s="40">
        <f t="shared" si="47"/>
        <v>2.6561604584527219</v>
      </c>
      <c r="AR26" s="40">
        <f t="shared" si="48"/>
        <v>2644.4355300859597</v>
      </c>
      <c r="AS26" s="40"/>
      <c r="AT26" s="40">
        <f t="shared" si="49"/>
        <v>586.91977077363902</v>
      </c>
    </row>
    <row r="27" spans="1:46" ht="15" customHeight="1" x14ac:dyDescent="0.25">
      <c r="A27" s="6">
        <f t="shared" si="28"/>
        <v>43.875448323234792</v>
      </c>
      <c r="B27" s="4" t="s">
        <v>50</v>
      </c>
      <c r="C27" s="22" t="s">
        <v>39</v>
      </c>
      <c r="D27" s="13" t="str">
        <f t="shared" si="29"/>
        <v>Hitscan Repeater</v>
      </c>
      <c r="E27" s="4" t="s">
        <v>64</v>
      </c>
      <c r="F27" s="4" t="s">
        <v>63</v>
      </c>
      <c r="H27" s="32">
        <f t="shared" si="30"/>
        <v>596</v>
      </c>
      <c r="I27" s="8">
        <f t="shared" si="31"/>
        <v>0.66275167785234901</v>
      </c>
      <c r="J27" s="9">
        <f t="shared" si="32"/>
        <v>2.5097124357265281</v>
      </c>
      <c r="K27" s="40">
        <f t="shared" si="33"/>
        <v>6759.6528762155922</v>
      </c>
      <c r="L27" s="40" t="str">
        <f t="shared" si="34"/>
        <v xml:space="preserve"> </v>
      </c>
      <c r="M27" s="40">
        <f t="shared" si="35"/>
        <v>337.866490852151</v>
      </c>
      <c r="O27" s="10">
        <f t="shared" si="36"/>
        <v>74</v>
      </c>
      <c r="P27" s="10">
        <f t="shared" si="37"/>
        <v>74</v>
      </c>
      <c r="Q27" s="10">
        <f t="shared" si="38"/>
        <v>2575</v>
      </c>
      <c r="R27" s="9">
        <f t="shared" si="39"/>
        <v>34.797297297297298</v>
      </c>
      <c r="T27" s="5" t="s">
        <v>230</v>
      </c>
      <c r="U27" s="32">
        <v>2049836</v>
      </c>
      <c r="V27" s="32">
        <v>10787</v>
      </c>
      <c r="W27" s="32">
        <v>5251</v>
      </c>
      <c r="X27" s="32">
        <v>4783</v>
      </c>
      <c r="Y27" s="32">
        <v>41010814</v>
      </c>
      <c r="Z27" s="32">
        <v>35818311</v>
      </c>
      <c r="AA27" s="32">
        <v>21922559</v>
      </c>
      <c r="AB27" s="32">
        <v>0</v>
      </c>
      <c r="AC27" s="32">
        <v>0</v>
      </c>
      <c r="AD27" s="32">
        <v>1077481</v>
      </c>
      <c r="AE27" s="32">
        <v>4223</v>
      </c>
      <c r="AF27" s="32">
        <v>395</v>
      </c>
      <c r="AG27" s="32">
        <v>201</v>
      </c>
      <c r="AH27" s="37">
        <v>6067</v>
      </c>
      <c r="AI27" s="39">
        <f t="shared" si="40"/>
        <v>4.2131944444444445</v>
      </c>
      <c r="AK27" s="9">
        <f t="shared" si="41"/>
        <v>1.7779792319103347</v>
      </c>
      <c r="AL27" s="9">
        <f t="shared" si="42"/>
        <v>0.86550189550024725</v>
      </c>
      <c r="AM27" s="6">
        <f t="shared" si="43"/>
        <v>0.78836327674303608</v>
      </c>
      <c r="AN27" s="8">
        <f t="shared" si="44"/>
        <v>0.87338698032182438</v>
      </c>
      <c r="AO27" s="8">
        <f t="shared" si="45"/>
        <v>0.12661301967817562</v>
      </c>
      <c r="AP27" s="40">
        <f t="shared" si="46"/>
        <v>3613.4100873578373</v>
      </c>
      <c r="AQ27" s="40">
        <f t="shared" si="47"/>
        <v>0.69606065600791167</v>
      </c>
      <c r="AR27" s="40" t="str">
        <f t="shared" si="48"/>
        <v xml:space="preserve"> </v>
      </c>
      <c r="AS27" s="40"/>
      <c r="AT27" s="40">
        <f t="shared" si="49"/>
        <v>177.59700016482611</v>
      </c>
    </row>
    <row r="28" spans="1:46" ht="15" customHeight="1" x14ac:dyDescent="0.25">
      <c r="A28" s="6">
        <f t="shared" si="28"/>
        <v>48.198428173344588</v>
      </c>
      <c r="B28" s="7" t="s">
        <v>17</v>
      </c>
      <c r="C28" s="22" t="s">
        <v>40</v>
      </c>
      <c r="D28" s="13" t="str">
        <f t="shared" si="29"/>
        <v>Hitscan Tracking</v>
      </c>
      <c r="E28" s="4" t="s">
        <v>64</v>
      </c>
      <c r="F28" s="4" t="s">
        <v>91</v>
      </c>
      <c r="H28" s="32">
        <f t="shared" si="30"/>
        <v>32</v>
      </c>
      <c r="I28" s="8">
        <f t="shared" si="31"/>
        <v>0.75</v>
      </c>
      <c r="J28" s="9">
        <f t="shared" si="32"/>
        <v>3.2587209302325579</v>
      </c>
      <c r="K28" s="40">
        <f t="shared" si="33"/>
        <v>5709.0730994152045</v>
      </c>
      <c r="L28" s="40">
        <f t="shared" si="34"/>
        <v>2914.1754385964914</v>
      </c>
      <c r="M28" s="40">
        <f t="shared" si="35"/>
        <v>334.30701754385967</v>
      </c>
      <c r="O28" s="10">
        <f t="shared" si="36"/>
        <v>-5</v>
      </c>
      <c r="P28" s="10">
        <f t="shared" si="37"/>
        <v>-5</v>
      </c>
      <c r="Q28" s="10">
        <f t="shared" si="38"/>
        <v>-44</v>
      </c>
      <c r="R28" s="9">
        <f t="shared" si="39"/>
        <v>0</v>
      </c>
      <c r="T28" s="5" t="s">
        <v>115</v>
      </c>
      <c r="U28" s="32">
        <v>114333</v>
      </c>
      <c r="V28" s="32">
        <v>231</v>
      </c>
      <c r="W28" s="32">
        <v>172</v>
      </c>
      <c r="X28" s="37">
        <v>659</v>
      </c>
      <c r="Y28" s="37">
        <v>1952503</v>
      </c>
      <c r="Z28" s="37">
        <v>1163271</v>
      </c>
      <c r="AA28" s="37">
        <v>1750432</v>
      </c>
      <c r="AB28" s="37">
        <v>2250</v>
      </c>
      <c r="AC28" s="37">
        <v>996648</v>
      </c>
      <c r="AD28" s="37">
        <v>474034</v>
      </c>
      <c r="AE28" s="37">
        <v>2072</v>
      </c>
      <c r="AF28" s="32">
        <v>24</v>
      </c>
      <c r="AG28" s="32">
        <v>8</v>
      </c>
      <c r="AH28" s="37">
        <v>342</v>
      </c>
      <c r="AI28" s="39">
        <f t="shared" si="40"/>
        <v>0.23749999999999999</v>
      </c>
      <c r="AK28" s="9">
        <f t="shared" si="41"/>
        <v>0.67543859649122806</v>
      </c>
      <c r="AL28" s="9">
        <f t="shared" si="42"/>
        <v>0.50292397660818711</v>
      </c>
      <c r="AM28" s="6">
        <f t="shared" si="43"/>
        <v>1.9269005847953216</v>
      </c>
      <c r="AN28" s="8">
        <f t="shared" si="44"/>
        <v>0.59578448791115812</v>
      </c>
      <c r="AO28" s="8">
        <f t="shared" si="45"/>
        <v>0.40421551208884188</v>
      </c>
      <c r="AP28" s="40">
        <f t="shared" si="46"/>
        <v>5118.2222222222226</v>
      </c>
      <c r="AQ28" s="40">
        <f t="shared" si="47"/>
        <v>6.0584795321637426</v>
      </c>
      <c r="AR28" s="40">
        <f t="shared" si="48"/>
        <v>6.5789473684210522</v>
      </c>
      <c r="AS28" s="40"/>
      <c r="AT28" s="40">
        <f t="shared" si="49"/>
        <v>4300.2397660818715</v>
      </c>
    </row>
    <row r="29" spans="1:46" ht="15" customHeight="1" x14ac:dyDescent="0.25">
      <c r="A29" s="6">
        <f t="shared" si="28"/>
        <v>49.536107274188311</v>
      </c>
      <c r="B29" s="7" t="s">
        <v>4</v>
      </c>
      <c r="C29" s="22" t="s">
        <v>38</v>
      </c>
      <c r="D29" s="13" t="str">
        <f t="shared" si="29"/>
        <v>Projectile Repeater</v>
      </c>
      <c r="E29" s="4" t="s">
        <v>65</v>
      </c>
      <c r="F29" s="4" t="s">
        <v>63</v>
      </c>
      <c r="H29" s="32">
        <f t="shared" si="30"/>
        <v>629</v>
      </c>
      <c r="I29" s="8">
        <f t="shared" si="31"/>
        <v>0.63751987281399047</v>
      </c>
      <c r="J29" s="9">
        <f t="shared" si="32"/>
        <v>3.1738655666100462</v>
      </c>
      <c r="K29" s="40">
        <f t="shared" si="33"/>
        <v>8138.1374726077429</v>
      </c>
      <c r="L29" s="40" t="str">
        <f t="shared" si="34"/>
        <v xml:space="preserve"> </v>
      </c>
      <c r="M29" s="40">
        <f t="shared" si="35"/>
        <v>313.55573411249088</v>
      </c>
      <c r="O29" s="10">
        <f t="shared" si="36"/>
        <v>131</v>
      </c>
      <c r="P29" s="10">
        <f t="shared" si="37"/>
        <v>131</v>
      </c>
      <c r="Q29" s="10">
        <f t="shared" si="38"/>
        <v>-716</v>
      </c>
      <c r="R29" s="9">
        <f t="shared" si="39"/>
        <v>0</v>
      </c>
      <c r="T29" s="5" t="s">
        <v>226</v>
      </c>
      <c r="U29" s="32">
        <v>2146289</v>
      </c>
      <c r="V29" s="32">
        <v>9747</v>
      </c>
      <c r="W29" s="32">
        <v>4121</v>
      </c>
      <c r="X29" s="37">
        <v>6665</v>
      </c>
      <c r="Y29" s="37">
        <v>55705551</v>
      </c>
      <c r="Z29" s="37">
        <v>47860116</v>
      </c>
      <c r="AA29" s="37">
        <v>23749051</v>
      </c>
      <c r="AB29" s="37">
        <v>0</v>
      </c>
      <c r="AC29" s="37">
        <v>0</v>
      </c>
      <c r="AD29" s="37">
        <v>2107850</v>
      </c>
      <c r="AE29" s="37">
        <v>10547</v>
      </c>
      <c r="AF29" s="32">
        <v>401</v>
      </c>
      <c r="AG29" s="32">
        <v>228</v>
      </c>
      <c r="AH29" s="37">
        <v>6845</v>
      </c>
      <c r="AI29" s="39">
        <f t="shared" si="40"/>
        <v>4.7534722222222223</v>
      </c>
      <c r="AK29" s="9">
        <f t="shared" si="41"/>
        <v>1.4239590942293645</v>
      </c>
      <c r="AL29" s="9">
        <f t="shared" si="42"/>
        <v>0.60204528853177497</v>
      </c>
      <c r="AM29" s="6">
        <f t="shared" si="43"/>
        <v>0.97370343316289265</v>
      </c>
      <c r="AN29" s="8">
        <f t="shared" si="44"/>
        <v>0.85916241991754105</v>
      </c>
      <c r="AO29" s="8">
        <f t="shared" si="45"/>
        <v>0.14083758008245892</v>
      </c>
      <c r="AP29" s="40">
        <f t="shared" si="46"/>
        <v>3469.5472607742877</v>
      </c>
      <c r="AQ29" s="40">
        <f t="shared" si="47"/>
        <v>1.5408327246165083</v>
      </c>
      <c r="AR29" s="40" t="str">
        <f t="shared" si="48"/>
        <v xml:space="preserve"> </v>
      </c>
      <c r="AS29" s="40"/>
      <c r="AT29" s="40">
        <f t="shared" si="49"/>
        <v>307.94010226442657</v>
      </c>
    </row>
    <row r="30" spans="1:46" ht="15" customHeight="1" x14ac:dyDescent="0.25">
      <c r="A30" s="6">
        <f t="shared" si="28"/>
        <v>50.757140066068978</v>
      </c>
      <c r="B30" s="7" t="s">
        <v>7</v>
      </c>
      <c r="C30" s="22" t="s">
        <v>40</v>
      </c>
      <c r="D30" s="13" t="str">
        <f t="shared" si="29"/>
        <v>Projectile Tracking</v>
      </c>
      <c r="E30" s="4" t="s">
        <v>65</v>
      </c>
      <c r="F30" s="4" t="s">
        <v>91</v>
      </c>
      <c r="H30" s="32">
        <f t="shared" si="30"/>
        <v>32</v>
      </c>
      <c r="I30" s="8">
        <f t="shared" si="31"/>
        <v>0.6875</v>
      </c>
      <c r="J30" s="9">
        <f t="shared" si="32"/>
        <v>3.0646551724137931</v>
      </c>
      <c r="K30" s="40">
        <f t="shared" si="33"/>
        <v>2871.909090909091</v>
      </c>
      <c r="L30" s="40">
        <f t="shared" si="34"/>
        <v>5115.636363636364</v>
      </c>
      <c r="M30" s="40">
        <f t="shared" si="35"/>
        <v>408.37944664031619</v>
      </c>
      <c r="O30" s="10">
        <f t="shared" si="36"/>
        <v>2</v>
      </c>
      <c r="P30" s="10">
        <f t="shared" si="37"/>
        <v>2</v>
      </c>
      <c r="Q30" s="10">
        <f t="shared" si="38"/>
        <v>-7</v>
      </c>
      <c r="R30" s="9">
        <f t="shared" si="39"/>
        <v>0</v>
      </c>
      <c r="T30" s="5" t="s">
        <v>216</v>
      </c>
      <c r="U30" s="32">
        <v>103320</v>
      </c>
      <c r="V30" s="32">
        <v>115</v>
      </c>
      <c r="W30" s="32">
        <v>116</v>
      </c>
      <c r="X30" s="37">
        <v>481</v>
      </c>
      <c r="Y30" s="37">
        <v>726593</v>
      </c>
      <c r="Z30" s="37">
        <v>621156</v>
      </c>
      <c r="AA30" s="37">
        <v>880931</v>
      </c>
      <c r="AB30" s="37">
        <v>0</v>
      </c>
      <c r="AC30" s="37">
        <v>1294256</v>
      </c>
      <c r="AD30" s="37">
        <v>316306</v>
      </c>
      <c r="AE30" s="37">
        <v>896</v>
      </c>
      <c r="AF30" s="32">
        <v>22</v>
      </c>
      <c r="AG30" s="32">
        <v>10</v>
      </c>
      <c r="AH30" s="37">
        <v>253</v>
      </c>
      <c r="AI30" s="39">
        <f t="shared" si="40"/>
        <v>0.17569444444444443</v>
      </c>
      <c r="AK30" s="9">
        <f t="shared" si="41"/>
        <v>0.45454545454545453</v>
      </c>
      <c r="AL30" s="9">
        <f t="shared" si="42"/>
        <v>0.45849802371541504</v>
      </c>
      <c r="AM30" s="6">
        <f t="shared" si="43"/>
        <v>1.901185770750988</v>
      </c>
      <c r="AN30" s="8">
        <f t="shared" si="44"/>
        <v>0.85488850016446627</v>
      </c>
      <c r="AO30" s="8">
        <f t="shared" si="45"/>
        <v>0.14511149983553379</v>
      </c>
      <c r="AP30" s="40">
        <f t="shared" si="46"/>
        <v>3481.9407114624505</v>
      </c>
      <c r="AQ30" s="40">
        <f t="shared" si="47"/>
        <v>3.541501976284585</v>
      </c>
      <c r="AR30" s="40" t="str">
        <f t="shared" si="48"/>
        <v xml:space="preserve"> </v>
      </c>
      <c r="AS30" s="40"/>
      <c r="AT30" s="40">
        <f t="shared" si="49"/>
        <v>6365.857707509881</v>
      </c>
    </row>
    <row r="31" spans="1:46" ht="15" customHeight="1" x14ac:dyDescent="0.25">
      <c r="A31" s="6">
        <f t="shared" si="28"/>
        <v>52.053029608086007</v>
      </c>
      <c r="B31" s="7" t="s">
        <v>5</v>
      </c>
      <c r="C31" s="22" t="s">
        <v>37</v>
      </c>
      <c r="D31" s="13" t="str">
        <f t="shared" si="29"/>
        <v>Hitscan Projectile Repeater</v>
      </c>
      <c r="E31" s="12" t="s">
        <v>90</v>
      </c>
      <c r="F31" s="4" t="s">
        <v>63</v>
      </c>
      <c r="H31" s="32">
        <f t="shared" si="30"/>
        <v>154</v>
      </c>
      <c r="I31" s="8">
        <f t="shared" si="31"/>
        <v>0.74025974025974028</v>
      </c>
      <c r="J31" s="9">
        <f t="shared" si="32"/>
        <v>3.0493218249075218</v>
      </c>
      <c r="K31" s="40">
        <f t="shared" si="33"/>
        <v>5930.6164383561645</v>
      </c>
      <c r="L31" s="40" t="str">
        <f t="shared" si="34"/>
        <v xml:space="preserve"> </v>
      </c>
      <c r="M31" s="40">
        <f t="shared" si="35"/>
        <v>297.28881278538813</v>
      </c>
      <c r="O31" s="10">
        <f t="shared" si="36"/>
        <v>-20</v>
      </c>
      <c r="P31" s="10">
        <f t="shared" si="37"/>
        <v>-20</v>
      </c>
      <c r="Q31" s="10">
        <f t="shared" si="38"/>
        <v>-40</v>
      </c>
      <c r="R31" s="9">
        <f t="shared" si="39"/>
        <v>0</v>
      </c>
      <c r="T31" s="5" t="s">
        <v>219</v>
      </c>
      <c r="U31" s="32">
        <v>520850</v>
      </c>
      <c r="V31" s="32">
        <v>1210</v>
      </c>
      <c r="W31" s="32">
        <v>811</v>
      </c>
      <c r="X31" s="37">
        <v>2526</v>
      </c>
      <c r="Y31" s="37">
        <v>10390440</v>
      </c>
      <c r="Z31" s="37">
        <v>10389540</v>
      </c>
      <c r="AA31" s="37">
        <v>9840177</v>
      </c>
      <c r="AB31" s="37">
        <v>9121345</v>
      </c>
      <c r="AC31" s="37">
        <v>0</v>
      </c>
      <c r="AD31" s="37">
        <v>773765</v>
      </c>
      <c r="AE31" s="37">
        <v>11730</v>
      </c>
      <c r="AF31" s="32">
        <v>114</v>
      </c>
      <c r="AG31" s="32">
        <v>40</v>
      </c>
      <c r="AH31" s="37">
        <v>1752</v>
      </c>
      <c r="AI31" s="39">
        <f t="shared" si="40"/>
        <v>1.2166666666666666</v>
      </c>
      <c r="AK31" s="9">
        <f t="shared" si="41"/>
        <v>0.69063926940639264</v>
      </c>
      <c r="AL31" s="9">
        <f t="shared" si="42"/>
        <v>0.46289954337899542</v>
      </c>
      <c r="AM31" s="6">
        <f t="shared" si="43"/>
        <v>1.4417808219178083</v>
      </c>
      <c r="AN31" s="8">
        <f t="shared" si="44"/>
        <v>0.99991338191645396</v>
      </c>
      <c r="AO31" s="8">
        <f t="shared" si="45"/>
        <v>8.6618083546028849E-5</v>
      </c>
      <c r="AP31" s="40">
        <f t="shared" si="46"/>
        <v>5616.5393835616442</v>
      </c>
      <c r="AQ31" s="40">
        <f t="shared" si="47"/>
        <v>6.6952054794520546</v>
      </c>
      <c r="AR31" s="40">
        <f t="shared" si="48"/>
        <v>5206.2471461187215</v>
      </c>
      <c r="AS31" s="40"/>
      <c r="AT31" s="40">
        <f t="shared" si="49"/>
        <v>441.64668949771692</v>
      </c>
    </row>
    <row r="32" spans="1:46" ht="15" customHeight="1" x14ac:dyDescent="0.25">
      <c r="A32" s="6">
        <f t="shared" si="28"/>
        <v>52.072652895894876</v>
      </c>
      <c r="B32" s="7" t="s">
        <v>1</v>
      </c>
      <c r="C32" s="22" t="s">
        <v>37</v>
      </c>
      <c r="D32" s="13" t="str">
        <f t="shared" si="29"/>
        <v>Projectile Arc</v>
      </c>
      <c r="E32" s="4" t="s">
        <v>65</v>
      </c>
      <c r="F32" s="4" t="s">
        <v>66</v>
      </c>
      <c r="H32" s="32">
        <f t="shared" si="30"/>
        <v>239</v>
      </c>
      <c r="I32" s="8">
        <f t="shared" si="31"/>
        <v>0.70711297071129708</v>
      </c>
      <c r="J32" s="9">
        <f t="shared" si="32"/>
        <v>3.0725490196078433</v>
      </c>
      <c r="K32" s="40">
        <f t="shared" si="33"/>
        <v>4932.6612167300382</v>
      </c>
      <c r="L32" s="40" t="str">
        <f t="shared" si="34"/>
        <v xml:space="preserve"> </v>
      </c>
      <c r="M32" s="40">
        <f t="shared" si="35"/>
        <v>307.73764258555133</v>
      </c>
      <c r="O32" s="10">
        <f t="shared" si="36"/>
        <v>-5</v>
      </c>
      <c r="P32" s="10">
        <f t="shared" si="37"/>
        <v>-5</v>
      </c>
      <c r="Q32" s="10">
        <f t="shared" si="38"/>
        <v>-92</v>
      </c>
      <c r="R32" s="9">
        <f t="shared" si="39"/>
        <v>0</v>
      </c>
      <c r="T32" s="5" t="s">
        <v>231</v>
      </c>
      <c r="U32" s="32">
        <v>809350</v>
      </c>
      <c r="V32" s="32">
        <v>2452</v>
      </c>
      <c r="W32" s="32">
        <v>1275</v>
      </c>
      <c r="X32" s="37">
        <v>2931</v>
      </c>
      <c r="Y32" s="37">
        <v>12972899</v>
      </c>
      <c r="Z32" s="37">
        <v>12434476</v>
      </c>
      <c r="AA32" s="37">
        <v>21060165</v>
      </c>
      <c r="AB32" s="37">
        <v>9920631</v>
      </c>
      <c r="AC32" s="37">
        <v>0</v>
      </c>
      <c r="AD32" s="37">
        <v>1116818</v>
      </c>
      <c r="AE32" s="37">
        <v>10456</v>
      </c>
      <c r="AF32" s="32">
        <v>169</v>
      </c>
      <c r="AG32" s="32">
        <v>70</v>
      </c>
      <c r="AH32" s="37">
        <v>2630</v>
      </c>
      <c r="AI32" s="39">
        <f t="shared" si="40"/>
        <v>1.8263888888888888</v>
      </c>
      <c r="AK32" s="9">
        <f t="shared" si="41"/>
        <v>0.93231939163498101</v>
      </c>
      <c r="AL32" s="9">
        <f t="shared" si="42"/>
        <v>0.48479087452471481</v>
      </c>
      <c r="AM32" s="6">
        <f t="shared" si="43"/>
        <v>1.114448669201521</v>
      </c>
      <c r="AN32" s="8">
        <f t="shared" si="44"/>
        <v>0.95849632375924609</v>
      </c>
      <c r="AO32" s="8">
        <f t="shared" si="45"/>
        <v>4.1503676240753899E-2</v>
      </c>
      <c r="AP32" s="40">
        <f t="shared" si="46"/>
        <v>8007.667300380228</v>
      </c>
      <c r="AQ32" s="40">
        <f t="shared" si="47"/>
        <v>3.9756653992395439</v>
      </c>
      <c r="AR32" s="40">
        <f t="shared" si="48"/>
        <v>3772.1030418250953</v>
      </c>
      <c r="AS32" s="40"/>
      <c r="AT32" s="40">
        <f t="shared" si="49"/>
        <v>424.64562737642586</v>
      </c>
    </row>
    <row r="33" spans="1:46" ht="15" customHeight="1" x14ac:dyDescent="0.25">
      <c r="A33" s="6">
        <f t="shared" si="28"/>
        <v>55.14032397996268</v>
      </c>
      <c r="B33" s="7" t="s">
        <v>20</v>
      </c>
      <c r="C33" s="22" t="s">
        <v>39</v>
      </c>
      <c r="D33" s="13" t="str">
        <f t="shared" si="29"/>
        <v>Projectile Arc</v>
      </c>
      <c r="E33" s="4" t="s">
        <v>65</v>
      </c>
      <c r="F33" s="4" t="s">
        <v>66</v>
      </c>
      <c r="H33" s="32">
        <f t="shared" si="30"/>
        <v>179</v>
      </c>
      <c r="I33" s="8">
        <f t="shared" si="31"/>
        <v>0.72067039106145248</v>
      </c>
      <c r="J33" s="9">
        <f t="shared" si="32"/>
        <v>3.2080689029918403</v>
      </c>
      <c r="K33" s="40">
        <f t="shared" si="33"/>
        <v>7662.8783068783068</v>
      </c>
      <c r="L33" s="40" t="str">
        <f t="shared" si="34"/>
        <v xml:space="preserve"> </v>
      </c>
      <c r="M33" s="40">
        <f t="shared" si="35"/>
        <v>306.91428571428571</v>
      </c>
      <c r="O33" s="10">
        <f t="shared" si="36"/>
        <v>-12</v>
      </c>
      <c r="P33" s="10">
        <f t="shared" si="37"/>
        <v>-12</v>
      </c>
      <c r="Q33" s="10">
        <f t="shared" si="38"/>
        <v>-229</v>
      </c>
      <c r="R33" s="9">
        <f t="shared" si="39"/>
        <v>0</v>
      </c>
      <c r="T33" s="5" t="s">
        <v>217</v>
      </c>
      <c r="U33" s="32">
        <v>580068</v>
      </c>
      <c r="V33" s="32">
        <v>2630</v>
      </c>
      <c r="W33" s="32">
        <v>1103</v>
      </c>
      <c r="X33" s="37">
        <v>1817</v>
      </c>
      <c r="Y33" s="37">
        <v>14482840</v>
      </c>
      <c r="Z33" s="37">
        <v>14343125</v>
      </c>
      <c r="AA33" s="37">
        <v>6624787</v>
      </c>
      <c r="AB33" s="37">
        <v>0</v>
      </c>
      <c r="AC33" s="37">
        <v>0</v>
      </c>
      <c r="AD33" s="37">
        <v>1111012</v>
      </c>
      <c r="AE33" s="37">
        <v>3439</v>
      </c>
      <c r="AF33" s="32">
        <v>129</v>
      </c>
      <c r="AG33" s="32">
        <v>50</v>
      </c>
      <c r="AH33" s="37">
        <v>1890</v>
      </c>
      <c r="AI33" s="39">
        <f t="shared" si="40"/>
        <v>1.3125</v>
      </c>
      <c r="AK33" s="9">
        <f t="shared" si="41"/>
        <v>1.3915343915343916</v>
      </c>
      <c r="AL33" s="9">
        <f t="shared" si="42"/>
        <v>0.58359788359788356</v>
      </c>
      <c r="AM33" s="6">
        <f t="shared" si="43"/>
        <v>0.96137566137566133</v>
      </c>
      <c r="AN33" s="8">
        <f t="shared" si="44"/>
        <v>0.99035306611134277</v>
      </c>
      <c r="AO33" s="8">
        <f t="shared" si="45"/>
        <v>9.6469338886571963E-3</v>
      </c>
      <c r="AP33" s="40">
        <f t="shared" si="46"/>
        <v>3505.178306878307</v>
      </c>
      <c r="AQ33" s="40">
        <f t="shared" si="47"/>
        <v>1.8195767195767196</v>
      </c>
      <c r="AR33" s="40" t="str">
        <f t="shared" si="48"/>
        <v xml:space="preserve"> </v>
      </c>
      <c r="AS33" s="40"/>
      <c r="AT33" s="40">
        <f t="shared" si="49"/>
        <v>587.83703703703702</v>
      </c>
    </row>
    <row r="34" spans="1:46" ht="15" customHeight="1" x14ac:dyDescent="0.25">
      <c r="A34" s="6">
        <f t="shared" si="28"/>
        <v>56.197965239807779</v>
      </c>
      <c r="B34" s="7" t="s">
        <v>52</v>
      </c>
      <c r="C34" s="22" t="s">
        <v>40</v>
      </c>
      <c r="D34" s="13" t="str">
        <f t="shared" si="29"/>
        <v>Projectile Arc</v>
      </c>
      <c r="E34" s="4" t="s">
        <v>65</v>
      </c>
      <c r="F34" s="4" t="s">
        <v>66</v>
      </c>
      <c r="H34" s="32">
        <f t="shared" si="30"/>
        <v>33</v>
      </c>
      <c r="I34" s="8">
        <f t="shared" si="31"/>
        <v>0.78787878787878785</v>
      </c>
      <c r="J34" s="9">
        <f t="shared" si="32"/>
        <v>3.1896551724137931</v>
      </c>
      <c r="K34" s="40">
        <f t="shared" si="33"/>
        <v>1794.0454545454545</v>
      </c>
      <c r="L34" s="40">
        <f t="shared" si="34"/>
        <v>4759.670454545455</v>
      </c>
      <c r="M34" s="40">
        <f t="shared" si="35"/>
        <v>370.72727272727275</v>
      </c>
      <c r="O34" s="10">
        <f t="shared" si="36"/>
        <v>-9</v>
      </c>
      <c r="P34" s="10">
        <f t="shared" si="37"/>
        <v>-9</v>
      </c>
      <c r="Q34" s="10">
        <f t="shared" si="38"/>
        <v>-22</v>
      </c>
      <c r="R34" s="9">
        <f t="shared" si="39"/>
        <v>0</v>
      </c>
      <c r="T34" s="5" t="s">
        <v>134</v>
      </c>
      <c r="U34" s="32">
        <v>97872</v>
      </c>
      <c r="V34" s="32">
        <v>97</v>
      </c>
      <c r="W34" s="32">
        <v>116</v>
      </c>
      <c r="X34" s="37">
        <v>546</v>
      </c>
      <c r="Y34" s="37">
        <v>473628</v>
      </c>
      <c r="Z34" s="37">
        <v>296724</v>
      </c>
      <c r="AA34" s="37">
        <v>732665</v>
      </c>
      <c r="AB34" s="37">
        <v>0</v>
      </c>
      <c r="AC34" s="37">
        <v>1256553</v>
      </c>
      <c r="AD34" s="37">
        <v>225383</v>
      </c>
      <c r="AE34" s="37">
        <v>919</v>
      </c>
      <c r="AF34" s="32">
        <v>26</v>
      </c>
      <c r="AG34" s="32">
        <v>7</v>
      </c>
      <c r="AH34" s="37">
        <v>264</v>
      </c>
      <c r="AI34" s="39">
        <f t="shared" si="40"/>
        <v>0.18333333333333332</v>
      </c>
      <c r="AK34" s="9">
        <f t="shared" si="41"/>
        <v>0.36742424242424243</v>
      </c>
      <c r="AL34" s="9">
        <f t="shared" si="42"/>
        <v>0.43939393939393939</v>
      </c>
      <c r="AM34" s="6">
        <f t="shared" si="43"/>
        <v>2.0681818181818183</v>
      </c>
      <c r="AN34" s="8">
        <f t="shared" si="44"/>
        <v>0.62649167701233877</v>
      </c>
      <c r="AO34" s="8">
        <f t="shared" si="45"/>
        <v>0.37350832298766118</v>
      </c>
      <c r="AP34" s="40">
        <f t="shared" si="46"/>
        <v>2775.246212121212</v>
      </c>
      <c r="AQ34" s="40">
        <f t="shared" si="47"/>
        <v>3.481060606060606</v>
      </c>
      <c r="AR34" s="40" t="str">
        <f t="shared" si="48"/>
        <v xml:space="preserve"> </v>
      </c>
      <c r="AS34" s="40"/>
      <c r="AT34" s="40">
        <f t="shared" si="49"/>
        <v>5613.393939393939</v>
      </c>
    </row>
    <row r="35" spans="1:46" ht="15" customHeight="1" x14ac:dyDescent="0.25">
      <c r="A35" s="6">
        <f t="shared" si="28"/>
        <v>56.404899071088749</v>
      </c>
      <c r="B35" s="7" t="s">
        <v>28</v>
      </c>
      <c r="C35" s="22" t="s">
        <v>39</v>
      </c>
      <c r="D35" s="13" t="str">
        <f t="shared" si="29"/>
        <v>Projectile Repeater</v>
      </c>
      <c r="E35" s="4" t="s">
        <v>65</v>
      </c>
      <c r="F35" s="4" t="s">
        <v>63</v>
      </c>
      <c r="H35" s="32">
        <f t="shared" si="30"/>
        <v>32</v>
      </c>
      <c r="I35" s="8">
        <f t="shared" si="31"/>
        <v>0.75</v>
      </c>
      <c r="J35" s="9">
        <f t="shared" si="32"/>
        <v>3.1608187134502925</v>
      </c>
      <c r="K35" s="40">
        <f t="shared" si="33"/>
        <v>6967.1402877697838</v>
      </c>
      <c r="L35" s="40" t="str">
        <f t="shared" si="34"/>
        <v xml:space="preserve"> </v>
      </c>
      <c r="M35" s="40">
        <f t="shared" si="35"/>
        <v>403.34532374100718</v>
      </c>
      <c r="O35" s="10">
        <f t="shared" si="36"/>
        <v>-5</v>
      </c>
      <c r="P35" s="10">
        <f t="shared" si="37"/>
        <v>-5</v>
      </c>
      <c r="Q35" s="10">
        <f t="shared" si="38"/>
        <v>-27</v>
      </c>
      <c r="R35" s="9">
        <f t="shared" si="39"/>
        <v>0</v>
      </c>
      <c r="T35" s="5" t="s">
        <v>201</v>
      </c>
      <c r="U35" s="32">
        <v>112130</v>
      </c>
      <c r="V35" s="32">
        <v>399</v>
      </c>
      <c r="W35" s="32">
        <v>171</v>
      </c>
      <c r="X35" s="32">
        <v>283</v>
      </c>
      <c r="Y35" s="32">
        <v>1936865</v>
      </c>
      <c r="Z35" s="32">
        <v>1669127</v>
      </c>
      <c r="AA35" s="32">
        <v>1219578</v>
      </c>
      <c r="AB35" s="32">
        <v>0</v>
      </c>
      <c r="AC35" s="32">
        <v>0</v>
      </c>
      <c r="AD35" s="32">
        <v>115713</v>
      </c>
      <c r="AE35" s="32">
        <v>677</v>
      </c>
      <c r="AF35" s="32">
        <v>24</v>
      </c>
      <c r="AG35" s="32">
        <v>8</v>
      </c>
      <c r="AH35" s="37">
        <v>278</v>
      </c>
      <c r="AI35" s="39">
        <f t="shared" si="40"/>
        <v>0.19305555555555556</v>
      </c>
      <c r="AK35" s="9">
        <f t="shared" si="41"/>
        <v>1.435251798561151</v>
      </c>
      <c r="AL35" s="9">
        <f t="shared" si="42"/>
        <v>0.6151079136690647</v>
      </c>
      <c r="AM35" s="6">
        <f t="shared" si="43"/>
        <v>1.0179856115107915</v>
      </c>
      <c r="AN35" s="8">
        <f t="shared" si="44"/>
        <v>0.86176734052192594</v>
      </c>
      <c r="AO35" s="8">
        <f t="shared" si="45"/>
        <v>0.13823265947807412</v>
      </c>
      <c r="AP35" s="40">
        <f t="shared" si="46"/>
        <v>4386.9712230215828</v>
      </c>
      <c r="AQ35" s="40">
        <f t="shared" si="47"/>
        <v>2.435251798561151</v>
      </c>
      <c r="AR35" s="40" t="str">
        <f t="shared" si="48"/>
        <v xml:space="preserve"> </v>
      </c>
      <c r="AS35" s="40"/>
      <c r="AT35" s="40">
        <f t="shared" si="49"/>
        <v>416.23381294964031</v>
      </c>
    </row>
    <row r="36" spans="1:46" ht="15" customHeight="1" x14ac:dyDescent="0.25">
      <c r="A36" s="6">
        <f t="shared" si="28"/>
        <v>56.975833750801883</v>
      </c>
      <c r="B36" s="7" t="s">
        <v>26</v>
      </c>
      <c r="C36" s="22" t="s">
        <v>38</v>
      </c>
      <c r="D36" s="13" t="str">
        <f t="shared" si="29"/>
        <v>Projectile Repeater</v>
      </c>
      <c r="E36" s="4" t="s">
        <v>65</v>
      </c>
      <c r="F36" s="4" t="s">
        <v>63</v>
      </c>
      <c r="H36" s="32">
        <f t="shared" si="30"/>
        <v>26</v>
      </c>
      <c r="I36" s="8">
        <f t="shared" si="31"/>
        <v>0.80769230769230771</v>
      </c>
      <c r="J36" s="9">
        <f t="shared" si="32"/>
        <v>3.0142857142857142</v>
      </c>
      <c r="K36" s="40">
        <f t="shared" si="33"/>
        <v>7833.7870967741937</v>
      </c>
      <c r="L36" s="40" t="str">
        <f t="shared" si="34"/>
        <v xml:space="preserve"> </v>
      </c>
      <c r="M36" s="40">
        <f t="shared" si="35"/>
        <v>490.58709677419353</v>
      </c>
      <c r="O36" s="10">
        <f t="shared" si="36"/>
        <v>-9</v>
      </c>
      <c r="P36" s="10">
        <f t="shared" si="37"/>
        <v>-9</v>
      </c>
      <c r="Q36" s="10">
        <f t="shared" si="38"/>
        <v>-2</v>
      </c>
      <c r="R36" s="9">
        <f t="shared" si="39"/>
        <v>0</v>
      </c>
      <c r="T36" s="5" t="s">
        <v>108</v>
      </c>
      <c r="U36" s="32">
        <v>76041</v>
      </c>
      <c r="V36" s="32">
        <v>324</v>
      </c>
      <c r="W36" s="32">
        <v>140</v>
      </c>
      <c r="X36" s="37">
        <v>196</v>
      </c>
      <c r="Y36" s="37">
        <v>1214237</v>
      </c>
      <c r="Z36" s="37">
        <v>999377</v>
      </c>
      <c r="AA36" s="37">
        <v>655798</v>
      </c>
      <c r="AB36" s="37">
        <v>0</v>
      </c>
      <c r="AC36" s="37">
        <v>0</v>
      </c>
      <c r="AD36" s="37">
        <v>56904</v>
      </c>
      <c r="AE36" s="37">
        <v>319</v>
      </c>
      <c r="AF36" s="32">
        <v>21</v>
      </c>
      <c r="AG36" s="32">
        <v>5</v>
      </c>
      <c r="AH36" s="37">
        <v>155</v>
      </c>
      <c r="AI36" s="39">
        <f t="shared" si="40"/>
        <v>0.1076388888888889</v>
      </c>
      <c r="AK36" s="9">
        <f t="shared" si="41"/>
        <v>2.0903225806451613</v>
      </c>
      <c r="AL36" s="9">
        <f t="shared" si="42"/>
        <v>0.90322580645161288</v>
      </c>
      <c r="AM36" s="6">
        <f t="shared" si="43"/>
        <v>1.264516129032258</v>
      </c>
      <c r="AN36" s="8">
        <f t="shared" si="44"/>
        <v>0.82304937174538417</v>
      </c>
      <c r="AO36" s="8">
        <f t="shared" si="45"/>
        <v>0.17695062825461585</v>
      </c>
      <c r="AP36" s="40">
        <f t="shared" si="46"/>
        <v>4230.9548387096775</v>
      </c>
      <c r="AQ36" s="40">
        <f t="shared" si="47"/>
        <v>2.0580645161290323</v>
      </c>
      <c r="AR36" s="40" t="str">
        <f t="shared" si="48"/>
        <v xml:space="preserve"> </v>
      </c>
      <c r="AS36" s="40"/>
      <c r="AT36" s="40">
        <f t="shared" si="49"/>
        <v>367.12258064516129</v>
      </c>
    </row>
    <row r="37" spans="1:46" ht="15" customHeight="1" x14ac:dyDescent="0.25">
      <c r="A37" s="6">
        <f t="shared" si="28"/>
        <v>57.774111783627156</v>
      </c>
      <c r="B37" s="7" t="s">
        <v>33</v>
      </c>
      <c r="C37" s="22" t="s">
        <v>39</v>
      </c>
      <c r="D37" s="13" t="str">
        <f t="shared" si="29"/>
        <v>Projectile Tracking Repeater</v>
      </c>
      <c r="E37" s="4" t="s">
        <v>65</v>
      </c>
      <c r="F37" s="12" t="s">
        <v>92</v>
      </c>
      <c r="H37" s="32">
        <f t="shared" si="30"/>
        <v>37</v>
      </c>
      <c r="I37" s="8">
        <f t="shared" si="31"/>
        <v>0.72972972972972971</v>
      </c>
      <c r="J37" s="9">
        <f t="shared" si="32"/>
        <v>3.1705069124423964</v>
      </c>
      <c r="K37" s="40">
        <f t="shared" si="33"/>
        <v>5940.2265372168285</v>
      </c>
      <c r="L37" s="40">
        <f t="shared" si="34"/>
        <v>127.98705501618123</v>
      </c>
      <c r="M37" s="40">
        <f t="shared" si="35"/>
        <v>386.79288025889969</v>
      </c>
      <c r="O37" s="10">
        <f t="shared" si="36"/>
        <v>-3</v>
      </c>
      <c r="P37" s="10">
        <f t="shared" si="37"/>
        <v>-3</v>
      </c>
      <c r="Q37" s="10">
        <f t="shared" si="38"/>
        <v>-37</v>
      </c>
      <c r="R37" s="9">
        <f t="shared" si="39"/>
        <v>0</v>
      </c>
      <c r="T37" s="5" t="s">
        <v>229</v>
      </c>
      <c r="U37" s="32">
        <v>119519</v>
      </c>
      <c r="V37" s="32">
        <v>520</v>
      </c>
      <c r="W37" s="32">
        <v>217</v>
      </c>
      <c r="X37" s="37">
        <v>336</v>
      </c>
      <c r="Y37" s="37">
        <v>1835530</v>
      </c>
      <c r="Z37" s="37">
        <v>1813313</v>
      </c>
      <c r="AA37" s="37">
        <v>1509109</v>
      </c>
      <c r="AB37" s="37">
        <v>0</v>
      </c>
      <c r="AC37" s="37">
        <v>39548</v>
      </c>
      <c r="AD37" s="37">
        <v>316988</v>
      </c>
      <c r="AE37" s="37">
        <v>1165</v>
      </c>
      <c r="AF37" s="32">
        <v>27</v>
      </c>
      <c r="AG37" s="32">
        <v>10</v>
      </c>
      <c r="AH37" s="37">
        <v>309</v>
      </c>
      <c r="AI37" s="39">
        <f t="shared" si="40"/>
        <v>0.21458333333333332</v>
      </c>
      <c r="AK37" s="9">
        <f t="shared" si="41"/>
        <v>1.6828478964401294</v>
      </c>
      <c r="AL37" s="9">
        <f t="shared" si="42"/>
        <v>0.70226537216828477</v>
      </c>
      <c r="AM37" s="6">
        <f t="shared" si="43"/>
        <v>1.087378640776699</v>
      </c>
      <c r="AN37" s="8">
        <f t="shared" si="44"/>
        <v>0.98789613898982853</v>
      </c>
      <c r="AO37" s="8">
        <f t="shared" si="45"/>
        <v>1.2103861010171449E-2</v>
      </c>
      <c r="AP37" s="40">
        <f t="shared" si="46"/>
        <v>4883.8478964401293</v>
      </c>
      <c r="AQ37" s="40">
        <f t="shared" si="47"/>
        <v>3.7702265372168284</v>
      </c>
      <c r="AR37" s="40" t="str">
        <f t="shared" si="48"/>
        <v xml:space="preserve"> </v>
      </c>
      <c r="AS37" s="40"/>
      <c r="AT37" s="40">
        <f t="shared" si="49"/>
        <v>1153.8381877022653</v>
      </c>
    </row>
    <row r="38" spans="1:46" ht="15" customHeight="1" x14ac:dyDescent="0.25">
      <c r="A38" s="6">
        <f t="shared" si="28"/>
        <v>58.273190182240107</v>
      </c>
      <c r="B38" s="7" t="s">
        <v>8</v>
      </c>
      <c r="C38" s="22" t="s">
        <v>37</v>
      </c>
      <c r="D38" s="13" t="str">
        <f t="shared" si="29"/>
        <v>Projectile Tracking</v>
      </c>
      <c r="E38" s="4" t="s">
        <v>65</v>
      </c>
      <c r="F38" s="4" t="s">
        <v>91</v>
      </c>
      <c r="H38" s="32">
        <f t="shared" si="30"/>
        <v>50</v>
      </c>
      <c r="I38" s="8">
        <f t="shared" si="31"/>
        <v>0.72</v>
      </c>
      <c r="J38" s="9">
        <f t="shared" si="32"/>
        <v>3.0757575757575757</v>
      </c>
      <c r="K38" s="40">
        <f t="shared" si="33"/>
        <v>3792.1176470588234</v>
      </c>
      <c r="L38" s="40">
        <f t="shared" si="34"/>
        <v>674.32352941176475</v>
      </c>
      <c r="M38" s="40">
        <f t="shared" si="35"/>
        <v>367.75245098039215</v>
      </c>
      <c r="O38" s="10">
        <f t="shared" si="36"/>
        <v>-3</v>
      </c>
      <c r="P38" s="10">
        <f t="shared" si="37"/>
        <v>-3</v>
      </c>
      <c r="Q38" s="10">
        <f t="shared" si="38"/>
        <v>-15</v>
      </c>
      <c r="R38" s="9">
        <f t="shared" si="39"/>
        <v>0</v>
      </c>
      <c r="T38" s="5" t="s">
        <v>112</v>
      </c>
      <c r="U38" s="32">
        <v>150043</v>
      </c>
      <c r="V38" s="32">
        <v>242</v>
      </c>
      <c r="W38" s="32">
        <v>198</v>
      </c>
      <c r="X38" s="37">
        <v>734</v>
      </c>
      <c r="Y38" s="37">
        <v>1547184</v>
      </c>
      <c r="Z38" s="37">
        <v>1307016</v>
      </c>
      <c r="AA38" s="37">
        <v>1350502</v>
      </c>
      <c r="AB38" s="37">
        <v>3283812</v>
      </c>
      <c r="AC38" s="37">
        <v>275124</v>
      </c>
      <c r="AD38" s="37">
        <v>44854</v>
      </c>
      <c r="AE38" s="37">
        <v>1466</v>
      </c>
      <c r="AF38" s="32">
        <v>36</v>
      </c>
      <c r="AG38" s="32">
        <v>14</v>
      </c>
      <c r="AH38" s="37">
        <v>408</v>
      </c>
      <c r="AI38" s="39">
        <f t="shared" si="40"/>
        <v>0.28333333333333333</v>
      </c>
      <c r="AK38" s="9">
        <f t="shared" si="41"/>
        <v>0.59313725490196079</v>
      </c>
      <c r="AL38" s="9">
        <f t="shared" si="42"/>
        <v>0.48529411764705882</v>
      </c>
      <c r="AM38" s="6">
        <f t="shared" si="43"/>
        <v>1.7990196078431373</v>
      </c>
      <c r="AN38" s="8">
        <f t="shared" si="44"/>
        <v>0.84477088697918279</v>
      </c>
      <c r="AO38" s="8">
        <f t="shared" si="45"/>
        <v>0.15522911302081718</v>
      </c>
      <c r="AP38" s="40">
        <f t="shared" si="46"/>
        <v>3310.0539215686276</v>
      </c>
      <c r="AQ38" s="40">
        <f t="shared" si="47"/>
        <v>3.5931372549019609</v>
      </c>
      <c r="AR38" s="40">
        <f t="shared" si="48"/>
        <v>8048.5588235294117</v>
      </c>
      <c r="AS38" s="40"/>
      <c r="AT38" s="40">
        <f t="shared" si="49"/>
        <v>784.25980392156862</v>
      </c>
    </row>
    <row r="39" spans="1:46" ht="15" customHeight="1" x14ac:dyDescent="0.25">
      <c r="A39" s="6">
        <f t="shared" si="28"/>
        <v>58.38096629199044</v>
      </c>
      <c r="B39" s="7" t="s">
        <v>18</v>
      </c>
      <c r="C39" s="22" t="s">
        <v>37</v>
      </c>
      <c r="D39" s="13" t="str">
        <f t="shared" si="29"/>
        <v>Projectile Melee</v>
      </c>
      <c r="E39" s="4" t="s">
        <v>65</v>
      </c>
      <c r="F39" s="4" t="s">
        <v>67</v>
      </c>
      <c r="H39" s="32">
        <f t="shared" si="30"/>
        <v>58</v>
      </c>
      <c r="I39" s="8">
        <f t="shared" si="31"/>
        <v>0.7068965517241379</v>
      </c>
      <c r="J39" s="9">
        <f t="shared" si="32"/>
        <v>3.2181069958847734</v>
      </c>
      <c r="K39" s="40">
        <f t="shared" si="33"/>
        <v>4887.3715277777774</v>
      </c>
      <c r="L39" s="40" t="str">
        <f t="shared" si="34"/>
        <v xml:space="preserve"> </v>
      </c>
      <c r="M39" s="40">
        <f t="shared" si="35"/>
        <v>349.140625</v>
      </c>
      <c r="O39" s="10">
        <f t="shared" si="36"/>
        <v>-1</v>
      </c>
      <c r="P39" s="10">
        <f t="shared" si="37"/>
        <v>-1</v>
      </c>
      <c r="Q39" s="10">
        <f t="shared" si="38"/>
        <v>-53</v>
      </c>
      <c r="R39" s="9">
        <f t="shared" si="39"/>
        <v>0</v>
      </c>
      <c r="T39" s="5" t="s">
        <v>202</v>
      </c>
      <c r="U39" s="32">
        <v>201105</v>
      </c>
      <c r="V39" s="32">
        <v>522</v>
      </c>
      <c r="W39" s="32">
        <v>243</v>
      </c>
      <c r="X39" s="37">
        <v>520</v>
      </c>
      <c r="Y39" s="37">
        <v>2815126</v>
      </c>
      <c r="Z39" s="37">
        <v>1239401</v>
      </c>
      <c r="AA39" s="37">
        <v>4234707</v>
      </c>
      <c r="AB39" s="37">
        <v>0</v>
      </c>
      <c r="AC39" s="37">
        <v>0</v>
      </c>
      <c r="AD39" s="37">
        <v>782024</v>
      </c>
      <c r="AE39" s="37">
        <v>6594</v>
      </c>
      <c r="AF39" s="32">
        <v>41</v>
      </c>
      <c r="AG39" s="32">
        <v>17</v>
      </c>
      <c r="AH39" s="37">
        <v>576</v>
      </c>
      <c r="AI39" s="39">
        <f t="shared" si="40"/>
        <v>0.4</v>
      </c>
      <c r="AK39" s="9">
        <f t="shared" si="41"/>
        <v>0.90625</v>
      </c>
      <c r="AL39" s="9">
        <f t="shared" si="42"/>
        <v>0.421875</v>
      </c>
      <c r="AM39" s="6">
        <f t="shared" si="43"/>
        <v>0.90277777777777779</v>
      </c>
      <c r="AN39" s="8">
        <f t="shared" si="44"/>
        <v>0.44026484072116134</v>
      </c>
      <c r="AO39" s="8">
        <f t="shared" si="45"/>
        <v>0.55973515927883866</v>
      </c>
      <c r="AP39" s="40">
        <f t="shared" si="46"/>
        <v>7351.921875</v>
      </c>
      <c r="AQ39" s="40">
        <f t="shared" si="47"/>
        <v>11.447916666666666</v>
      </c>
      <c r="AR39" s="40" t="str">
        <f t="shared" si="48"/>
        <v xml:space="preserve"> </v>
      </c>
      <c r="AS39" s="40"/>
      <c r="AT39" s="40">
        <f t="shared" si="49"/>
        <v>1357.6805555555557</v>
      </c>
    </row>
    <row r="40" spans="1:46" ht="15" customHeight="1" x14ac:dyDescent="0.25">
      <c r="A40" s="6">
        <f t="shared" si="28"/>
        <v>59.552994532465981</v>
      </c>
      <c r="B40" s="7" t="s">
        <v>23</v>
      </c>
      <c r="C40" s="22" t="s">
        <v>40</v>
      </c>
      <c r="D40" s="13" t="str">
        <f t="shared" si="29"/>
        <v>Hitscan Repeater</v>
      </c>
      <c r="E40" s="4" t="s">
        <v>64</v>
      </c>
      <c r="F40" s="4" t="s">
        <v>63</v>
      </c>
      <c r="H40" s="32">
        <f t="shared" si="30"/>
        <v>28</v>
      </c>
      <c r="I40" s="8">
        <f t="shared" si="31"/>
        <v>0.7857142857142857</v>
      </c>
      <c r="J40" s="9">
        <f t="shared" si="32"/>
        <v>3.4533898305084745</v>
      </c>
      <c r="K40" s="40">
        <f t="shared" si="33"/>
        <v>5766.82</v>
      </c>
      <c r="L40" s="40">
        <f t="shared" si="34"/>
        <v>4047.46</v>
      </c>
      <c r="M40" s="40">
        <f t="shared" si="35"/>
        <v>420.47500000000002</v>
      </c>
      <c r="O40" s="10">
        <f t="shared" si="36"/>
        <v>-8</v>
      </c>
      <c r="P40" s="10">
        <f t="shared" si="37"/>
        <v>-8</v>
      </c>
      <c r="Q40" s="10">
        <f t="shared" si="38"/>
        <v>-53</v>
      </c>
      <c r="R40" s="9">
        <f t="shared" si="39"/>
        <v>0</v>
      </c>
      <c r="T40" s="5" t="s">
        <v>212</v>
      </c>
      <c r="U40" s="32">
        <v>84095</v>
      </c>
      <c r="V40" s="32">
        <v>203</v>
      </c>
      <c r="W40" s="32">
        <v>118</v>
      </c>
      <c r="X40" s="37">
        <v>409</v>
      </c>
      <c r="Y40" s="37">
        <v>1153364</v>
      </c>
      <c r="Z40" s="37">
        <v>859269</v>
      </c>
      <c r="AA40" s="37">
        <v>607081</v>
      </c>
      <c r="AB40" s="37">
        <v>16818</v>
      </c>
      <c r="AC40" s="37">
        <v>809492</v>
      </c>
      <c r="AD40" s="37">
        <v>173306</v>
      </c>
      <c r="AE40" s="37">
        <v>972</v>
      </c>
      <c r="AF40" s="32">
        <v>22</v>
      </c>
      <c r="AG40" s="32">
        <v>6</v>
      </c>
      <c r="AH40" s="37">
        <v>200</v>
      </c>
      <c r="AI40" s="39">
        <f t="shared" si="40"/>
        <v>0.1388888888888889</v>
      </c>
      <c r="AK40" s="9">
        <f t="shared" si="41"/>
        <v>1.0149999999999999</v>
      </c>
      <c r="AL40" s="9">
        <f t="shared" si="42"/>
        <v>0.59</v>
      </c>
      <c r="AM40" s="6">
        <f t="shared" si="43"/>
        <v>2.0449999999999999</v>
      </c>
      <c r="AN40" s="8">
        <f t="shared" si="44"/>
        <v>0.74501111531138475</v>
      </c>
      <c r="AO40" s="8">
        <f t="shared" si="45"/>
        <v>0.25498888468861519</v>
      </c>
      <c r="AP40" s="40">
        <f t="shared" si="46"/>
        <v>3035.4050000000002</v>
      </c>
      <c r="AQ40" s="40">
        <f t="shared" si="47"/>
        <v>4.8600000000000003</v>
      </c>
      <c r="AR40" s="40">
        <f t="shared" si="48"/>
        <v>84.09</v>
      </c>
      <c r="AS40" s="40"/>
      <c r="AT40" s="40">
        <f t="shared" si="49"/>
        <v>4913.99</v>
      </c>
    </row>
    <row r="41" spans="1:46" ht="15" customHeight="1" x14ac:dyDescent="0.25">
      <c r="A41" s="6">
        <f t="shared" si="28"/>
        <v>59.798946935927553</v>
      </c>
      <c r="B41" s="7" t="s">
        <v>22</v>
      </c>
      <c r="C41" s="22" t="s">
        <v>38</v>
      </c>
      <c r="D41" s="13" t="str">
        <f t="shared" si="29"/>
        <v>Projectile Repeater</v>
      </c>
      <c r="E41" s="4" t="s">
        <v>65</v>
      </c>
      <c r="F41" s="4" t="s">
        <v>63</v>
      </c>
      <c r="H41" s="32">
        <f t="shared" si="30"/>
        <v>31</v>
      </c>
      <c r="I41" s="8">
        <f t="shared" si="31"/>
        <v>0.70967741935483875</v>
      </c>
      <c r="J41" s="9">
        <f t="shared" si="32"/>
        <v>3.0618279569892475</v>
      </c>
      <c r="K41" s="40">
        <f t="shared" si="33"/>
        <v>7968.9781659388645</v>
      </c>
      <c r="L41" s="40" t="str">
        <f t="shared" si="34"/>
        <v xml:space="preserve"> </v>
      </c>
      <c r="M41" s="40">
        <f t="shared" si="35"/>
        <v>478.38427947598251</v>
      </c>
      <c r="O41" s="10">
        <f t="shared" si="36"/>
        <v>-1</v>
      </c>
      <c r="P41" s="10">
        <f t="shared" si="37"/>
        <v>-1</v>
      </c>
      <c r="Q41" s="10">
        <f t="shared" si="38"/>
        <v>-11</v>
      </c>
      <c r="R41" s="9">
        <f t="shared" si="39"/>
        <v>0</v>
      </c>
      <c r="T41" s="5" t="s">
        <v>190</v>
      </c>
      <c r="U41" s="32">
        <v>109550</v>
      </c>
      <c r="V41" s="32">
        <v>369</v>
      </c>
      <c r="W41" s="32">
        <v>186</v>
      </c>
      <c r="X41" s="37">
        <v>401</v>
      </c>
      <c r="Y41" s="37">
        <v>1824896</v>
      </c>
      <c r="Z41" s="37">
        <v>1600243</v>
      </c>
      <c r="AA41" s="37">
        <v>956449</v>
      </c>
      <c r="AB41" s="37">
        <v>0</v>
      </c>
      <c r="AC41" s="37">
        <v>0</v>
      </c>
      <c r="AD41" s="37">
        <v>59320</v>
      </c>
      <c r="AE41" s="37">
        <v>503</v>
      </c>
      <c r="AF41" s="32">
        <v>22</v>
      </c>
      <c r="AG41" s="32">
        <v>9</v>
      </c>
      <c r="AH41" s="37">
        <v>229</v>
      </c>
      <c r="AI41" s="39">
        <f t="shared" si="40"/>
        <v>0.15902777777777777</v>
      </c>
      <c r="AK41" s="9">
        <f t="shared" si="41"/>
        <v>1.6113537117903931</v>
      </c>
      <c r="AL41" s="9">
        <f t="shared" si="42"/>
        <v>0.81222707423580787</v>
      </c>
      <c r="AM41" s="6">
        <f t="shared" si="43"/>
        <v>1.7510917030567685</v>
      </c>
      <c r="AN41" s="8">
        <f t="shared" si="44"/>
        <v>0.87689545048046569</v>
      </c>
      <c r="AO41" s="8">
        <f t="shared" si="45"/>
        <v>0.12310454951953427</v>
      </c>
      <c r="AP41" s="40">
        <f t="shared" si="46"/>
        <v>4176.6331877729253</v>
      </c>
      <c r="AQ41" s="40">
        <f t="shared" si="47"/>
        <v>2.1965065502183405</v>
      </c>
      <c r="AR41" s="40" t="str">
        <f t="shared" si="48"/>
        <v xml:space="preserve"> </v>
      </c>
      <c r="AS41" s="40"/>
      <c r="AT41" s="40">
        <f t="shared" si="49"/>
        <v>259.03930131004364</v>
      </c>
    </row>
    <row r="42" spans="1:46" ht="15" customHeight="1" x14ac:dyDescent="0.25">
      <c r="A42" s="6">
        <f t="shared" si="28"/>
        <v>61.528024258291268</v>
      </c>
      <c r="B42" s="4" t="s">
        <v>10</v>
      </c>
      <c r="C42" s="22" t="s">
        <v>37</v>
      </c>
      <c r="D42" s="13" t="str">
        <f t="shared" si="29"/>
        <v>Projectile Repeater</v>
      </c>
      <c r="E42" s="4" t="s">
        <v>65</v>
      </c>
      <c r="F42" s="4" t="s">
        <v>63</v>
      </c>
      <c r="H42" s="32">
        <f t="shared" si="30"/>
        <v>339</v>
      </c>
      <c r="I42" s="8">
        <f t="shared" si="31"/>
        <v>0.70206489675516226</v>
      </c>
      <c r="J42" s="9">
        <f t="shared" si="32"/>
        <v>3.1112462006079027</v>
      </c>
      <c r="K42" s="40">
        <f t="shared" si="33"/>
        <v>6173.4583729028172</v>
      </c>
      <c r="L42" s="40" t="str">
        <f t="shared" si="34"/>
        <v xml:space="preserve"> </v>
      </c>
      <c r="M42" s="40">
        <f t="shared" si="35"/>
        <v>361.15859449192783</v>
      </c>
      <c r="O42" s="10">
        <f t="shared" si="36"/>
        <v>-2</v>
      </c>
      <c r="P42" s="10">
        <f t="shared" si="37"/>
        <v>-2</v>
      </c>
      <c r="Q42" s="10">
        <f t="shared" si="38"/>
        <v>-183</v>
      </c>
      <c r="R42" s="9">
        <f t="shared" si="39"/>
        <v>0</v>
      </c>
      <c r="T42" s="5" t="s">
        <v>232</v>
      </c>
      <c r="U42" s="32">
        <v>1140900</v>
      </c>
      <c r="V42" s="32">
        <v>2950</v>
      </c>
      <c r="W42" s="32">
        <v>1645</v>
      </c>
      <c r="X42" s="37">
        <v>4336</v>
      </c>
      <c r="Y42" s="37">
        <v>19501955</v>
      </c>
      <c r="Z42" s="37">
        <v>18369001</v>
      </c>
      <c r="AA42" s="37">
        <v>24053100</v>
      </c>
      <c r="AB42" s="37">
        <v>10793427</v>
      </c>
      <c r="AC42" s="37">
        <v>0</v>
      </c>
      <c r="AD42" s="37">
        <v>979726</v>
      </c>
      <c r="AE42" s="37">
        <v>13951</v>
      </c>
      <c r="AF42" s="32">
        <v>238</v>
      </c>
      <c r="AG42" s="32">
        <v>101</v>
      </c>
      <c r="AH42" s="37">
        <v>3159</v>
      </c>
      <c r="AI42" s="39">
        <f t="shared" si="40"/>
        <v>2.1937500000000001</v>
      </c>
      <c r="AK42" s="9">
        <f t="shared" si="41"/>
        <v>0.93383982272871158</v>
      </c>
      <c r="AL42" s="9">
        <f t="shared" si="42"/>
        <v>0.52073440962329853</v>
      </c>
      <c r="AM42" s="6">
        <f t="shared" si="43"/>
        <v>1.3725862614751503</v>
      </c>
      <c r="AN42" s="8">
        <f t="shared" si="44"/>
        <v>0.94190561920586935</v>
      </c>
      <c r="AO42" s="8">
        <f t="shared" si="45"/>
        <v>5.8094380794130637E-2</v>
      </c>
      <c r="AP42" s="40">
        <f t="shared" si="46"/>
        <v>7614.1500474833811</v>
      </c>
      <c r="AQ42" s="40">
        <f t="shared" si="47"/>
        <v>4.4162709718265276</v>
      </c>
      <c r="AR42" s="40">
        <f t="shared" si="48"/>
        <v>3416.7226970560305</v>
      </c>
      <c r="AS42" s="40"/>
      <c r="AT42" s="40">
        <f t="shared" si="49"/>
        <v>310.13801836024061</v>
      </c>
    </row>
    <row r="43" spans="1:46" ht="15" customHeight="1" x14ac:dyDescent="0.25">
      <c r="A43" s="6">
        <f t="shared" si="28"/>
        <v>62.755403877871558</v>
      </c>
      <c r="B43" s="7" t="s">
        <v>15</v>
      </c>
      <c r="C43" s="22" t="s">
        <v>37</v>
      </c>
      <c r="D43" s="13" t="str">
        <f t="shared" si="29"/>
        <v>Hitscan Tracking</v>
      </c>
      <c r="E43" s="4" t="s">
        <v>64</v>
      </c>
      <c r="F43" s="4" t="s">
        <v>91</v>
      </c>
      <c r="H43" s="32">
        <f t="shared" si="30"/>
        <v>105</v>
      </c>
      <c r="I43" s="8">
        <f t="shared" si="31"/>
        <v>0.70476190476190481</v>
      </c>
      <c r="J43" s="9">
        <f t="shared" si="32"/>
        <v>3.7857142857142856</v>
      </c>
      <c r="K43" s="40">
        <f t="shared" si="33"/>
        <v>5113.7992565055765</v>
      </c>
      <c r="L43" s="40">
        <f t="shared" si="34"/>
        <v>785.83550185873605</v>
      </c>
      <c r="M43" s="40">
        <f t="shared" si="35"/>
        <v>305.85408921933083</v>
      </c>
      <c r="O43" s="10">
        <f t="shared" si="36"/>
        <v>-1</v>
      </c>
      <c r="P43" s="10">
        <f t="shared" si="37"/>
        <v>-1</v>
      </c>
      <c r="Q43" s="10">
        <f t="shared" si="38"/>
        <v>-335</v>
      </c>
      <c r="R43" s="9">
        <f t="shared" si="39"/>
        <v>0</v>
      </c>
      <c r="T43" s="5" t="s">
        <v>207</v>
      </c>
      <c r="U43" s="32">
        <v>329099</v>
      </c>
      <c r="V43" s="32">
        <v>909</v>
      </c>
      <c r="W43" s="32">
        <v>427</v>
      </c>
      <c r="X43" s="37">
        <v>1415</v>
      </c>
      <c r="Y43" s="37">
        <v>5502448</v>
      </c>
      <c r="Z43" s="37">
        <v>5199603</v>
      </c>
      <c r="AA43" s="37">
        <v>7477288</v>
      </c>
      <c r="AB43" s="37">
        <v>2272110</v>
      </c>
      <c r="AC43" s="37">
        <v>845559</v>
      </c>
      <c r="AD43" s="37">
        <v>1540378</v>
      </c>
      <c r="AE43" s="37">
        <v>7120</v>
      </c>
      <c r="AF43" s="32">
        <v>74</v>
      </c>
      <c r="AG43" s="32">
        <v>31</v>
      </c>
      <c r="AH43" s="37">
        <v>1076</v>
      </c>
      <c r="AI43" s="39">
        <f t="shared" si="40"/>
        <v>0.74722222222222223</v>
      </c>
      <c r="AK43" s="9">
        <f t="shared" si="41"/>
        <v>0.84479553903345728</v>
      </c>
      <c r="AL43" s="9">
        <f t="shared" si="42"/>
        <v>0.39684014869888473</v>
      </c>
      <c r="AM43" s="6">
        <f t="shared" si="43"/>
        <v>1.3150557620817844</v>
      </c>
      <c r="AN43" s="8">
        <f t="shared" si="44"/>
        <v>0.94496176974321244</v>
      </c>
      <c r="AO43" s="8">
        <f t="shared" si="45"/>
        <v>5.5038230256787522E-2</v>
      </c>
      <c r="AP43" s="40">
        <f t="shared" si="46"/>
        <v>6949.1524163568774</v>
      </c>
      <c r="AQ43" s="40">
        <f t="shared" si="47"/>
        <v>6.6171003717472123</v>
      </c>
      <c r="AR43" s="40">
        <f t="shared" si="48"/>
        <v>2111.6263940520448</v>
      </c>
      <c r="AS43" s="40"/>
      <c r="AT43" s="40">
        <f t="shared" si="49"/>
        <v>2217.4135687732341</v>
      </c>
    </row>
    <row r="44" spans="1:46" ht="15" customHeight="1" x14ac:dyDescent="0.25">
      <c r="A44" s="6">
        <f t="shared" si="28"/>
        <v>63.50538126459454</v>
      </c>
      <c r="B44" s="7" t="s">
        <v>34</v>
      </c>
      <c r="C44" s="22" t="s">
        <v>39</v>
      </c>
      <c r="D44" s="13" t="str">
        <f t="shared" si="29"/>
        <v>Hitscan Projectile Tracking Repeater</v>
      </c>
      <c r="E44" s="12" t="s">
        <v>90</v>
      </c>
      <c r="F44" s="12" t="s">
        <v>92</v>
      </c>
      <c r="H44" s="32">
        <f t="shared" si="30"/>
        <v>20</v>
      </c>
      <c r="I44" s="8">
        <f t="shared" si="31"/>
        <v>0.9</v>
      </c>
      <c r="J44" s="9">
        <f t="shared" si="32"/>
        <v>4.9294117647058826</v>
      </c>
      <c r="K44" s="40">
        <f t="shared" si="33"/>
        <v>7876.8355263157891</v>
      </c>
      <c r="L44" s="40" t="str">
        <f t="shared" si="34"/>
        <v xml:space="preserve"> </v>
      </c>
      <c r="M44" s="40">
        <f t="shared" si="35"/>
        <v>497.43421052631578</v>
      </c>
      <c r="O44" s="10">
        <f t="shared" si="36"/>
        <v>-10</v>
      </c>
      <c r="P44" s="10">
        <f t="shared" si="37"/>
        <v>-13</v>
      </c>
      <c r="Q44" s="10">
        <f t="shared" si="38"/>
        <v>-164</v>
      </c>
      <c r="R44" s="9">
        <f t="shared" si="39"/>
        <v>0</v>
      </c>
      <c r="T44" s="5" t="s">
        <v>113</v>
      </c>
      <c r="U44" s="32">
        <v>75610</v>
      </c>
      <c r="V44" s="32">
        <v>300</v>
      </c>
      <c r="W44" s="32">
        <v>85</v>
      </c>
      <c r="X44" s="37">
        <v>238</v>
      </c>
      <c r="Y44" s="37">
        <v>1197279</v>
      </c>
      <c r="Z44" s="37">
        <v>1106562</v>
      </c>
      <c r="AA44" s="37">
        <v>645664</v>
      </c>
      <c r="AB44" s="37">
        <v>0</v>
      </c>
      <c r="AC44" s="37">
        <v>0</v>
      </c>
      <c r="AD44" s="37">
        <v>181906</v>
      </c>
      <c r="AE44" s="37">
        <v>640</v>
      </c>
      <c r="AF44" s="32">
        <v>18</v>
      </c>
      <c r="AG44" s="32">
        <v>2</v>
      </c>
      <c r="AH44" s="37">
        <v>152</v>
      </c>
      <c r="AI44" s="39">
        <f t="shared" si="40"/>
        <v>0.10555555555555556</v>
      </c>
      <c r="AK44" s="9">
        <f t="shared" si="41"/>
        <v>1.9736842105263157</v>
      </c>
      <c r="AL44" s="9">
        <f t="shared" si="42"/>
        <v>0.55921052631578949</v>
      </c>
      <c r="AM44" s="6">
        <f t="shared" si="43"/>
        <v>1.5657894736842106</v>
      </c>
      <c r="AN44" s="8">
        <f t="shared" si="44"/>
        <v>0.92423069309659656</v>
      </c>
      <c r="AO44" s="8">
        <f t="shared" si="45"/>
        <v>7.5769306903403472E-2</v>
      </c>
      <c r="AP44" s="40">
        <f t="shared" si="46"/>
        <v>4247.7894736842109</v>
      </c>
      <c r="AQ44" s="40">
        <f t="shared" si="47"/>
        <v>4.2105263157894735</v>
      </c>
      <c r="AR44" s="40" t="str">
        <f t="shared" si="48"/>
        <v xml:space="preserve"> </v>
      </c>
      <c r="AS44" s="40"/>
      <c r="AT44" s="40">
        <f t="shared" si="49"/>
        <v>1196.75</v>
      </c>
    </row>
    <row r="45" spans="1:46" ht="15" customHeight="1" x14ac:dyDescent="0.25">
      <c r="A45" s="6">
        <f t="shared" si="28"/>
        <v>64.211328299575726</v>
      </c>
      <c r="B45" s="7" t="s">
        <v>25</v>
      </c>
      <c r="C45" s="22" t="s">
        <v>38</v>
      </c>
      <c r="D45" s="13" t="str">
        <f t="shared" si="29"/>
        <v>Hitscan Repeater</v>
      </c>
      <c r="E45" s="4" t="s">
        <v>64</v>
      </c>
      <c r="F45" s="4" t="s">
        <v>63</v>
      </c>
      <c r="H45" s="32">
        <f t="shared" si="30"/>
        <v>668</v>
      </c>
      <c r="I45" s="8">
        <f t="shared" si="31"/>
        <v>0.70808383233532934</v>
      </c>
      <c r="J45" s="9">
        <f t="shared" si="32"/>
        <v>3.2727166276346602</v>
      </c>
      <c r="K45" s="40">
        <f t="shared" si="33"/>
        <v>8422.6668227946921</v>
      </c>
      <c r="L45" s="40" t="str">
        <f t="shared" si="34"/>
        <v xml:space="preserve"> </v>
      </c>
      <c r="M45" s="40">
        <f t="shared" si="35"/>
        <v>354.87072599531615</v>
      </c>
      <c r="O45" s="10">
        <f t="shared" si="36"/>
        <v>-18</v>
      </c>
      <c r="P45" s="10">
        <f t="shared" si="37"/>
        <v>-18</v>
      </c>
      <c r="Q45" s="10">
        <f t="shared" si="38"/>
        <v>-1164</v>
      </c>
      <c r="R45" s="9">
        <f t="shared" si="39"/>
        <v>0</v>
      </c>
      <c r="T45" s="5" t="s">
        <v>224</v>
      </c>
      <c r="U45" s="32">
        <v>2272947</v>
      </c>
      <c r="V45" s="32">
        <v>10348</v>
      </c>
      <c r="W45" s="32">
        <v>4270</v>
      </c>
      <c r="X45" s="37">
        <v>7253</v>
      </c>
      <c r="Y45" s="37">
        <v>53947181</v>
      </c>
      <c r="Z45" s="37">
        <v>49844383</v>
      </c>
      <c r="AA45" s="37">
        <v>20547541</v>
      </c>
      <c r="AB45" s="37">
        <v>0</v>
      </c>
      <c r="AC45" s="37">
        <v>0</v>
      </c>
      <c r="AD45" s="37">
        <v>1370415</v>
      </c>
      <c r="AE45" s="37">
        <v>8510</v>
      </c>
      <c r="AF45" s="32">
        <v>473</v>
      </c>
      <c r="AG45" s="32">
        <v>195</v>
      </c>
      <c r="AH45" s="37">
        <v>6405</v>
      </c>
      <c r="AI45" s="39">
        <f t="shared" si="40"/>
        <v>4.447916666666667</v>
      </c>
      <c r="AK45" s="9">
        <f t="shared" si="41"/>
        <v>1.6156128024980485</v>
      </c>
      <c r="AL45" s="9">
        <f t="shared" si="42"/>
        <v>0.66666666666666663</v>
      </c>
      <c r="AM45" s="6">
        <f t="shared" si="43"/>
        <v>1.1323965651834504</v>
      </c>
      <c r="AN45" s="8">
        <f t="shared" si="44"/>
        <v>0.92394787041791859</v>
      </c>
      <c r="AO45" s="8">
        <f t="shared" si="45"/>
        <v>7.6052129582081407E-2</v>
      </c>
      <c r="AP45" s="40">
        <f t="shared" si="46"/>
        <v>3208.0469945355189</v>
      </c>
      <c r="AQ45" s="40">
        <f t="shared" si="47"/>
        <v>1.3286494925839187</v>
      </c>
      <c r="AR45" s="40" t="str">
        <f t="shared" si="48"/>
        <v xml:space="preserve"> </v>
      </c>
      <c r="AS45" s="40"/>
      <c r="AT45" s="40">
        <f t="shared" si="49"/>
        <v>213.96018735362998</v>
      </c>
    </row>
    <row r="46" spans="1:46" ht="15" customHeight="1" x14ac:dyDescent="0.25">
      <c r="A46" s="6">
        <f t="shared" si="28"/>
        <v>65.557440274878417</v>
      </c>
      <c r="B46" s="7" t="s">
        <v>48</v>
      </c>
      <c r="C46" s="24" t="s">
        <v>37</v>
      </c>
      <c r="D46" s="13" t="str">
        <f t="shared" si="29"/>
        <v>Hitscan Charge</v>
      </c>
      <c r="E46" s="4" t="s">
        <v>64</v>
      </c>
      <c r="F46" s="4" t="s">
        <v>62</v>
      </c>
      <c r="H46" s="32">
        <f t="shared" si="30"/>
        <v>74</v>
      </c>
      <c r="I46" s="8">
        <f t="shared" si="31"/>
        <v>0.70270270270270274</v>
      </c>
      <c r="J46" s="9">
        <f t="shared" si="32"/>
        <v>3.5218855218855221</v>
      </c>
      <c r="K46" s="40">
        <f t="shared" si="33"/>
        <v>5938.0693215339234</v>
      </c>
      <c r="L46" s="40" t="str">
        <f t="shared" si="34"/>
        <v xml:space="preserve"> </v>
      </c>
      <c r="M46" s="40">
        <f t="shared" si="35"/>
        <v>350.88790560471978</v>
      </c>
      <c r="O46" s="10">
        <f t="shared" si="36"/>
        <v>0</v>
      </c>
      <c r="P46" s="10">
        <f t="shared" si="37"/>
        <v>0</v>
      </c>
      <c r="Q46" s="10">
        <f t="shared" si="38"/>
        <v>-155</v>
      </c>
      <c r="R46" s="9">
        <f t="shared" si="39"/>
        <v>0</v>
      </c>
      <c r="T46" s="5" t="s">
        <v>117</v>
      </c>
      <c r="U46" s="32">
        <v>237902</v>
      </c>
      <c r="V46" s="32">
        <v>611</v>
      </c>
      <c r="W46" s="32">
        <v>297</v>
      </c>
      <c r="X46" s="37">
        <v>870</v>
      </c>
      <c r="Y46" s="37">
        <v>4026011</v>
      </c>
      <c r="Z46" s="37">
        <v>4016673</v>
      </c>
      <c r="AA46" s="37">
        <v>5056985</v>
      </c>
      <c r="AB46" s="37">
        <v>0</v>
      </c>
      <c r="AC46" s="37">
        <v>0</v>
      </c>
      <c r="AD46" s="37">
        <v>629187</v>
      </c>
      <c r="AE46" s="37">
        <v>6396</v>
      </c>
      <c r="AF46" s="32">
        <v>52</v>
      </c>
      <c r="AG46" s="32">
        <v>22</v>
      </c>
      <c r="AH46" s="37">
        <v>678</v>
      </c>
      <c r="AI46" s="39">
        <f t="shared" si="40"/>
        <v>0.47083333333333333</v>
      </c>
      <c r="AK46" s="9">
        <f t="shared" si="41"/>
        <v>0.90117994100294985</v>
      </c>
      <c r="AL46" s="9">
        <f t="shared" si="42"/>
        <v>0.43805309734513276</v>
      </c>
      <c r="AM46" s="6">
        <f t="shared" si="43"/>
        <v>1.2831858407079646</v>
      </c>
      <c r="AN46" s="8">
        <f t="shared" si="44"/>
        <v>0.99768058259155279</v>
      </c>
      <c r="AO46" s="8">
        <f t="shared" si="45"/>
        <v>2.3194174084472199E-3</v>
      </c>
      <c r="AP46" s="40">
        <f t="shared" si="46"/>
        <v>7458.6799410029498</v>
      </c>
      <c r="AQ46" s="40">
        <f t="shared" si="47"/>
        <v>9.4336283185840699</v>
      </c>
      <c r="AR46" s="40" t="str">
        <f t="shared" si="48"/>
        <v xml:space="preserve"> </v>
      </c>
      <c r="AS46" s="40"/>
      <c r="AT46" s="40">
        <f t="shared" si="49"/>
        <v>928.00442477876106</v>
      </c>
    </row>
    <row r="47" spans="1:46" ht="15" customHeight="1" x14ac:dyDescent="0.25">
      <c r="A47" s="6">
        <f t="shared" si="28"/>
        <v>65.808374488885363</v>
      </c>
      <c r="B47" s="7" t="s">
        <v>16</v>
      </c>
      <c r="C47" s="22" t="s">
        <v>38</v>
      </c>
      <c r="D47" s="13" t="str">
        <f t="shared" si="29"/>
        <v>Hitscan Charge</v>
      </c>
      <c r="E47" s="4" t="s">
        <v>64</v>
      </c>
      <c r="F47" s="4" t="s">
        <v>62</v>
      </c>
      <c r="H47" s="32">
        <f t="shared" si="30"/>
        <v>341</v>
      </c>
      <c r="I47" s="8">
        <f t="shared" si="31"/>
        <v>0.70967741935483875</v>
      </c>
      <c r="J47" s="9">
        <f t="shared" si="32"/>
        <v>3.3776403915507469</v>
      </c>
      <c r="K47" s="40">
        <f t="shared" si="33"/>
        <v>7768.3976205385097</v>
      </c>
      <c r="L47" s="40" t="str">
        <f t="shared" si="34"/>
        <v xml:space="preserve"> </v>
      </c>
      <c r="M47" s="40">
        <f t="shared" si="35"/>
        <v>351.99467752035065</v>
      </c>
      <c r="O47" s="10">
        <f t="shared" si="36"/>
        <v>-11</v>
      </c>
      <c r="P47" s="10">
        <f t="shared" si="37"/>
        <v>-11</v>
      </c>
      <c r="Q47" s="10">
        <f t="shared" si="38"/>
        <v>-733</v>
      </c>
      <c r="R47" s="9">
        <f t="shared" si="39"/>
        <v>0</v>
      </c>
      <c r="T47" s="5" t="s">
        <v>222</v>
      </c>
      <c r="U47" s="32">
        <v>1124271</v>
      </c>
      <c r="V47" s="32">
        <v>4907</v>
      </c>
      <c r="W47" s="32">
        <v>1941</v>
      </c>
      <c r="X47" s="37">
        <v>3298</v>
      </c>
      <c r="Y47" s="37">
        <v>24812262</v>
      </c>
      <c r="Z47" s="37">
        <v>22861303</v>
      </c>
      <c r="AA47" s="37">
        <v>9456529</v>
      </c>
      <c r="AB47" s="37">
        <v>0</v>
      </c>
      <c r="AC47" s="37">
        <v>0</v>
      </c>
      <c r="AD47" s="37">
        <v>1391355</v>
      </c>
      <c r="AE47" s="37">
        <v>3137</v>
      </c>
      <c r="AF47" s="32">
        <v>242</v>
      </c>
      <c r="AG47" s="32">
        <v>99</v>
      </c>
      <c r="AH47" s="37">
        <v>3194</v>
      </c>
      <c r="AI47" s="39">
        <f t="shared" si="40"/>
        <v>2.2180555555555554</v>
      </c>
      <c r="AK47" s="9">
        <f t="shared" si="41"/>
        <v>1.5363180964308079</v>
      </c>
      <c r="AL47" s="9">
        <f t="shared" si="42"/>
        <v>0.60770194113963683</v>
      </c>
      <c r="AM47" s="6">
        <f t="shared" si="43"/>
        <v>1.0325610519724484</v>
      </c>
      <c r="AN47" s="8">
        <f t="shared" si="44"/>
        <v>0.92137117526809931</v>
      </c>
      <c r="AO47" s="8">
        <f t="shared" si="45"/>
        <v>7.8628824731900707E-2</v>
      </c>
      <c r="AP47" s="40">
        <f t="shared" si="46"/>
        <v>2960.7166562304319</v>
      </c>
      <c r="AQ47" s="40">
        <f t="shared" si="47"/>
        <v>0.98215403882279273</v>
      </c>
      <c r="AR47" s="40" t="str">
        <f t="shared" si="48"/>
        <v xml:space="preserve"> </v>
      </c>
      <c r="AS47" s="40"/>
      <c r="AT47" s="40">
        <f t="shared" si="49"/>
        <v>435.61521603005633</v>
      </c>
    </row>
    <row r="48" spans="1:46" ht="15" customHeight="1" x14ac:dyDescent="0.25">
      <c r="A48" s="6">
        <f t="shared" ref="A48:A67" si="50">IF(H48=" "," ",(((M48*LOG(H48)^10)/(LOG(H48)^10+9))*(((J48*I48*LOG(H48)^10)/(LOG(H48)^10+9))/(12.8))))</f>
        <v>66.493134926959613</v>
      </c>
      <c r="B48" s="7" t="s">
        <v>21</v>
      </c>
      <c r="C48" s="22" t="s">
        <v>40</v>
      </c>
      <c r="D48" s="13" t="str">
        <f t="shared" si="29"/>
        <v>Projectile Arc</v>
      </c>
      <c r="E48" s="4" t="s">
        <v>65</v>
      </c>
      <c r="F48" s="4" t="s">
        <v>66</v>
      </c>
      <c r="H48" s="32">
        <f t="shared" ref="H48:H67" si="51">IF(ISBLANK(AF48)," ",AF48+AG48)</f>
        <v>36</v>
      </c>
      <c r="I48" s="8">
        <f t="shared" ref="I48:I67" si="52">IF(ISBLANK(AF48),"",AF48/(AF48+AG48))</f>
        <v>0.75</v>
      </c>
      <c r="J48" s="9">
        <f t="shared" ref="J48:J67" si="53">IF(ISBLANK(V48)," ",(V48+X48/2)/W48)</f>
        <v>3.3815789473684212</v>
      </c>
      <c r="K48" s="40">
        <f t="shared" ref="K48:K67" si="54">IF(Y48&gt;0,Y48/AH48," ")</f>
        <v>6780.0570469798658</v>
      </c>
      <c r="L48" s="40">
        <f t="shared" ref="L48:L67" si="55">IF(AC48&gt;0,(AC48)/AH48," ")</f>
        <v>1835.3120805369128</v>
      </c>
      <c r="M48" s="40">
        <f t="shared" ref="M48:M67" si="56">IF(U48&gt;0,U48/AH48," ")</f>
        <v>411.96644295302013</v>
      </c>
      <c r="O48" s="10">
        <f t="shared" ref="O48:O79" si="57">IF(ISBLANK(AF48)," ",IF((P48+H48)&lt;=SUMIF($C$2:$C$6,C48,$F$2:$F$6),SUMIF($C$2:$C$6,C48,$F$2:$F$6)-H48,P48))</f>
        <v>-6</v>
      </c>
      <c r="P48" s="10">
        <f t="shared" ref="P48:P67" si="58">IF(ISBLANK(AF48)," ",_xlfn.CEILING.MATH(((SUMIF($C$2:$C$6,C48,$D$2:$D$6)-1)*AF48+SUMIF($C$2:$C$6,C48,$D$2:$D$6)*AG48)/(1-SUMIF($C$2:$C$6,C48,$D$2:$D$6))))</f>
        <v>-6</v>
      </c>
      <c r="Q48" s="10">
        <f t="shared" ref="Q48:Q67" si="59">IF(ISBLANK(V48)," ",_xlfn.CEILING.MATH(SUMIF($C$2:$C$6,C48,$E$2:$E$6)*W48-V48-X48/2))</f>
        <v>-72</v>
      </c>
      <c r="R48" s="9">
        <f t="shared" ref="R48:R79" si="60">IF(AND(O48&gt;0,Q48&gt;0),Q48/O48,(IF(AND(O48&lt;=0,Q48&gt;0),Q48,0)))</f>
        <v>0</v>
      </c>
      <c r="T48" s="5" t="s">
        <v>236</v>
      </c>
      <c r="U48" s="32">
        <v>122766</v>
      </c>
      <c r="V48" s="32">
        <v>396</v>
      </c>
      <c r="W48" s="32">
        <v>190</v>
      </c>
      <c r="X48" s="37">
        <v>493</v>
      </c>
      <c r="Y48" s="37">
        <v>2020457</v>
      </c>
      <c r="Z48" s="37">
        <v>1874307</v>
      </c>
      <c r="AA48" s="37">
        <v>1220747</v>
      </c>
      <c r="AB48" s="37">
        <v>0</v>
      </c>
      <c r="AC48" s="37">
        <v>546923</v>
      </c>
      <c r="AD48" s="37">
        <v>506675</v>
      </c>
      <c r="AE48" s="37">
        <v>947</v>
      </c>
      <c r="AF48" s="32">
        <v>27</v>
      </c>
      <c r="AG48" s="32">
        <v>9</v>
      </c>
      <c r="AH48" s="37">
        <v>298</v>
      </c>
      <c r="AI48" s="39">
        <f t="shared" ref="AI48:AI79" si="61">IF(AH48&gt;0,AH48/1440," ")</f>
        <v>0.20694444444444443</v>
      </c>
      <c r="AK48" s="9">
        <f t="shared" ref="AK48:AK67" si="62">IF(V48&gt;0,V48/AH48," ")</f>
        <v>1.3288590604026846</v>
      </c>
      <c r="AL48" s="9">
        <f t="shared" ref="AL48:AL67" si="63">IF(W48&gt;0,W48/AH48," ")</f>
        <v>0.63758389261744963</v>
      </c>
      <c r="AM48" s="6">
        <f t="shared" ref="AM48:AM67" si="64">IF(X48&gt;0,X48/AH48," ")</f>
        <v>1.6543624161073827</v>
      </c>
      <c r="AN48" s="8">
        <f t="shared" ref="AN48:AN67" si="65">IF(Y48&gt;0,Z48/Y48," ")</f>
        <v>0.92766487977719891</v>
      </c>
      <c r="AO48" s="8">
        <f t="shared" ref="AO48:AO67" si="66">IF(Y48&gt;0,(Y48-Z48)/Y48," ")</f>
        <v>7.2335120222801086E-2</v>
      </c>
      <c r="AP48" s="40">
        <f t="shared" ref="AP48:AP67" si="67">IF(AA48&gt;0,AA48/AH48," ")</f>
        <v>4096.4664429530203</v>
      </c>
      <c r="AQ48" s="40">
        <f t="shared" ref="AQ48:AQ67" si="68">IF(AE48&gt;0,AE48/AH48," ")</f>
        <v>3.1778523489932886</v>
      </c>
      <c r="AR48" s="40" t="str">
        <f t="shared" ref="AR48:AR67" si="69">IF(AB48&gt;0,AB48/AH48," ")</f>
        <v xml:space="preserve"> </v>
      </c>
      <c r="AS48" s="40"/>
      <c r="AT48" s="40">
        <f t="shared" ref="AT48:AT67" si="70">IF(ISBLANK(AH48)," ",(AC48+AD48)/AH48)</f>
        <v>3535.5637583892617</v>
      </c>
    </row>
    <row r="49" spans="1:46" ht="15" customHeight="1" x14ac:dyDescent="0.25">
      <c r="A49" s="6">
        <f t="shared" si="50"/>
        <v>67.172518846695326</v>
      </c>
      <c r="B49" s="7" t="s">
        <v>47</v>
      </c>
      <c r="C49" s="22" t="s">
        <v>38</v>
      </c>
      <c r="D49" s="13" t="str">
        <f t="shared" si="29"/>
        <v>Projectile Repeater Charge</v>
      </c>
      <c r="E49" s="4" t="s">
        <v>65</v>
      </c>
      <c r="F49" s="12" t="s">
        <v>89</v>
      </c>
      <c r="H49" s="32">
        <f t="shared" si="51"/>
        <v>37</v>
      </c>
      <c r="I49" s="8">
        <f t="shared" si="52"/>
        <v>0.70270270270270274</v>
      </c>
      <c r="J49" s="9">
        <f t="shared" si="53"/>
        <v>3.2448453608247423</v>
      </c>
      <c r="K49" s="40">
        <f t="shared" si="54"/>
        <v>9288.8510638297867</v>
      </c>
      <c r="L49" s="40" t="str">
        <f t="shared" si="55"/>
        <v xml:space="preserve"> </v>
      </c>
      <c r="M49" s="40">
        <f t="shared" si="56"/>
        <v>456.31205673758865</v>
      </c>
      <c r="O49" s="10">
        <f t="shared" si="57"/>
        <v>0</v>
      </c>
      <c r="P49" s="10">
        <f t="shared" si="58"/>
        <v>0</v>
      </c>
      <c r="Q49" s="10">
        <f t="shared" si="59"/>
        <v>-47</v>
      </c>
      <c r="R49" s="9">
        <f t="shared" si="60"/>
        <v>0</v>
      </c>
      <c r="T49" s="5" t="s">
        <v>132</v>
      </c>
      <c r="U49" s="32">
        <v>128680</v>
      </c>
      <c r="V49" s="32">
        <v>456</v>
      </c>
      <c r="W49" s="32">
        <v>194</v>
      </c>
      <c r="X49" s="37">
        <v>347</v>
      </c>
      <c r="Y49" s="37">
        <v>2619456</v>
      </c>
      <c r="Z49" s="37">
        <v>2138058</v>
      </c>
      <c r="AA49" s="37">
        <v>1107534</v>
      </c>
      <c r="AB49" s="37">
        <v>7240</v>
      </c>
      <c r="AC49" s="37">
        <v>0</v>
      </c>
      <c r="AD49" s="37">
        <v>133930</v>
      </c>
      <c r="AE49" s="37">
        <v>556</v>
      </c>
      <c r="AF49" s="32">
        <v>26</v>
      </c>
      <c r="AG49" s="32">
        <v>11</v>
      </c>
      <c r="AH49" s="37">
        <v>282</v>
      </c>
      <c r="AI49" s="39">
        <f t="shared" si="61"/>
        <v>0.19583333333333333</v>
      </c>
      <c r="AK49" s="9">
        <f t="shared" si="62"/>
        <v>1.6170212765957446</v>
      </c>
      <c r="AL49" s="9">
        <f t="shared" si="63"/>
        <v>0.68794326241134751</v>
      </c>
      <c r="AM49" s="6">
        <f t="shared" si="64"/>
        <v>1.2304964539007093</v>
      </c>
      <c r="AN49" s="8">
        <f t="shared" si="65"/>
        <v>0.81622214688851424</v>
      </c>
      <c r="AO49" s="8">
        <f t="shared" si="66"/>
        <v>0.18377785311148576</v>
      </c>
      <c r="AP49" s="40">
        <f t="shared" si="67"/>
        <v>3927.4255319148938</v>
      </c>
      <c r="AQ49" s="40">
        <f t="shared" si="68"/>
        <v>1.9716312056737588</v>
      </c>
      <c r="AR49" s="40">
        <f t="shared" si="69"/>
        <v>25.673758865248228</v>
      </c>
      <c r="AS49" s="40"/>
      <c r="AT49" s="40">
        <f t="shared" si="70"/>
        <v>474.92907801418437</v>
      </c>
    </row>
    <row r="50" spans="1:46" ht="15" customHeight="1" x14ac:dyDescent="0.25">
      <c r="A50" s="6">
        <f t="shared" si="50"/>
        <v>70.659667189933515</v>
      </c>
      <c r="B50" s="7" t="s">
        <v>135</v>
      </c>
      <c r="C50" s="22" t="s">
        <v>38</v>
      </c>
      <c r="H50" s="32">
        <f t="shared" si="51"/>
        <v>24</v>
      </c>
      <c r="I50" s="8">
        <f t="shared" si="52"/>
        <v>0.70833333333333337</v>
      </c>
      <c r="J50" s="9">
        <f t="shared" si="53"/>
        <v>4.5056818181818183</v>
      </c>
      <c r="K50" s="40">
        <f t="shared" si="54"/>
        <v>8877.1088435374149</v>
      </c>
      <c r="L50" s="40">
        <f t="shared" si="55"/>
        <v>18.238095238095237</v>
      </c>
      <c r="M50" s="40">
        <f t="shared" si="56"/>
        <v>523.19047619047615</v>
      </c>
      <c r="O50" s="10">
        <f t="shared" si="57"/>
        <v>0</v>
      </c>
      <c r="P50" s="10">
        <f t="shared" si="58"/>
        <v>0</v>
      </c>
      <c r="Q50" s="10">
        <f t="shared" si="59"/>
        <v>-132</v>
      </c>
      <c r="R50" s="9">
        <f t="shared" si="60"/>
        <v>0</v>
      </c>
      <c r="T50" s="5" t="s">
        <v>196</v>
      </c>
      <c r="U50" s="32">
        <v>76909</v>
      </c>
      <c r="V50" s="32">
        <v>281</v>
      </c>
      <c r="W50" s="32">
        <v>88</v>
      </c>
      <c r="X50" s="37">
        <v>231</v>
      </c>
      <c r="Y50" s="37">
        <v>1304935</v>
      </c>
      <c r="Z50" s="37">
        <v>1208308</v>
      </c>
      <c r="AA50" s="37">
        <v>586616</v>
      </c>
      <c r="AB50" s="37">
        <v>23340</v>
      </c>
      <c r="AC50" s="37">
        <v>2681</v>
      </c>
      <c r="AD50" s="37">
        <v>47170</v>
      </c>
      <c r="AE50" s="37">
        <v>27</v>
      </c>
      <c r="AF50" s="32">
        <v>17</v>
      </c>
      <c r="AG50" s="32">
        <v>7</v>
      </c>
      <c r="AH50" s="37">
        <v>147</v>
      </c>
      <c r="AI50" s="39">
        <f t="shared" si="61"/>
        <v>0.10208333333333333</v>
      </c>
      <c r="AK50" s="9">
        <f t="shared" si="62"/>
        <v>1.91156462585034</v>
      </c>
      <c r="AL50" s="9">
        <f t="shared" si="63"/>
        <v>0.59863945578231292</v>
      </c>
      <c r="AM50" s="6">
        <f t="shared" si="64"/>
        <v>1.5714285714285714</v>
      </c>
      <c r="AN50" s="8">
        <f t="shared" si="65"/>
        <v>0.92595263365608249</v>
      </c>
      <c r="AO50" s="8">
        <f t="shared" si="66"/>
        <v>7.4047366343917509E-2</v>
      </c>
      <c r="AP50" s="40">
        <f t="shared" si="67"/>
        <v>3990.5850340136053</v>
      </c>
      <c r="AQ50" s="40">
        <f t="shared" si="68"/>
        <v>0.18367346938775511</v>
      </c>
      <c r="AR50" s="40">
        <f t="shared" si="69"/>
        <v>158.77551020408163</v>
      </c>
      <c r="AS50" s="40"/>
      <c r="AT50" s="40">
        <f t="shared" si="70"/>
        <v>339.12244897959181</v>
      </c>
    </row>
    <row r="51" spans="1:46" ht="15" customHeight="1" x14ac:dyDescent="0.25">
      <c r="A51" s="6">
        <f t="shared" si="50"/>
        <v>71.116525656209788</v>
      </c>
      <c r="B51" s="7" t="s">
        <v>9</v>
      </c>
      <c r="C51" s="22" t="s">
        <v>39</v>
      </c>
      <c r="D51" s="13" t="str">
        <f t="shared" ref="D51:D64" si="71">E51&amp;" "&amp;F51</f>
        <v>Hitscan Repeater</v>
      </c>
      <c r="E51" s="4" t="s">
        <v>64</v>
      </c>
      <c r="F51" s="4" t="s">
        <v>63</v>
      </c>
      <c r="H51" s="32">
        <f t="shared" si="51"/>
        <v>191</v>
      </c>
      <c r="I51" s="8">
        <f t="shared" si="52"/>
        <v>0.74345549738219896</v>
      </c>
      <c r="J51" s="9">
        <f t="shared" si="53"/>
        <v>3.1121707538601271</v>
      </c>
      <c r="K51" s="40">
        <f t="shared" si="54"/>
        <v>6255.6637112096259</v>
      </c>
      <c r="L51" s="40" t="str">
        <f t="shared" si="55"/>
        <v xml:space="preserve"> </v>
      </c>
      <c r="M51" s="40">
        <f t="shared" si="56"/>
        <v>395.28435718809374</v>
      </c>
      <c r="O51" s="10">
        <f t="shared" si="57"/>
        <v>-27</v>
      </c>
      <c r="P51" s="10">
        <f t="shared" si="58"/>
        <v>-27</v>
      </c>
      <c r="Q51" s="10">
        <f t="shared" si="59"/>
        <v>-123</v>
      </c>
      <c r="R51" s="9">
        <f t="shared" si="60"/>
        <v>0</v>
      </c>
      <c r="T51" s="5" t="s">
        <v>228</v>
      </c>
      <c r="U51" s="32">
        <v>624154</v>
      </c>
      <c r="V51" s="32">
        <v>2452</v>
      </c>
      <c r="W51" s="32">
        <v>1101</v>
      </c>
      <c r="X51" s="37">
        <v>1949</v>
      </c>
      <c r="Y51" s="37">
        <v>9877693</v>
      </c>
      <c r="Z51" s="37">
        <v>9242797</v>
      </c>
      <c r="AA51" s="37">
        <v>7971364</v>
      </c>
      <c r="AB51" s="37">
        <v>0</v>
      </c>
      <c r="AC51" s="37">
        <v>0</v>
      </c>
      <c r="AD51" s="37">
        <v>1973784</v>
      </c>
      <c r="AE51" s="37">
        <v>3513</v>
      </c>
      <c r="AF51" s="32">
        <v>142</v>
      </c>
      <c r="AG51" s="32">
        <v>49</v>
      </c>
      <c r="AH51" s="37">
        <v>1579</v>
      </c>
      <c r="AI51" s="39">
        <f t="shared" si="61"/>
        <v>1.0965277777777778</v>
      </c>
      <c r="AK51" s="9">
        <f t="shared" si="62"/>
        <v>1.5528815706143129</v>
      </c>
      <c r="AL51" s="9">
        <f t="shared" si="63"/>
        <v>0.69727675744141859</v>
      </c>
      <c r="AM51" s="6">
        <f t="shared" si="64"/>
        <v>1.234325522482584</v>
      </c>
      <c r="AN51" s="8">
        <f t="shared" si="65"/>
        <v>0.93572426274029774</v>
      </c>
      <c r="AO51" s="8">
        <f t="shared" si="66"/>
        <v>6.4275737259702245E-2</v>
      </c>
      <c r="AP51" s="40">
        <f t="shared" si="67"/>
        <v>5048.3622545915132</v>
      </c>
      <c r="AQ51" s="40">
        <f t="shared" si="68"/>
        <v>2.2248258391386955</v>
      </c>
      <c r="AR51" s="40" t="str">
        <f t="shared" si="69"/>
        <v xml:space="preserve"> </v>
      </c>
      <c r="AS51" s="40"/>
      <c r="AT51" s="40">
        <f t="shared" si="70"/>
        <v>1250.0215326155794</v>
      </c>
    </row>
    <row r="52" spans="1:46" ht="15" customHeight="1" x14ac:dyDescent="0.25">
      <c r="A52" s="6">
        <f t="shared" si="50"/>
        <v>72.68239843886704</v>
      </c>
      <c r="B52" s="7" t="s">
        <v>19</v>
      </c>
      <c r="C52" s="22" t="s">
        <v>38</v>
      </c>
      <c r="D52" s="13" t="str">
        <f t="shared" si="71"/>
        <v>Hitscan Repeater</v>
      </c>
      <c r="E52" s="4" t="s">
        <v>64</v>
      </c>
      <c r="F52" s="4" t="s">
        <v>63</v>
      </c>
      <c r="H52" s="32">
        <f t="shared" si="51"/>
        <v>223</v>
      </c>
      <c r="I52" s="8">
        <f t="shared" si="52"/>
        <v>0.72197309417040356</v>
      </c>
      <c r="J52" s="9">
        <f t="shared" si="53"/>
        <v>3.3272884283246977</v>
      </c>
      <c r="K52" s="40">
        <f t="shared" si="54"/>
        <v>7827.6668539325847</v>
      </c>
      <c r="L52" s="40" t="str">
        <f t="shared" si="55"/>
        <v xml:space="preserve"> </v>
      </c>
      <c r="M52" s="40">
        <f t="shared" si="56"/>
        <v>388.6505617977528</v>
      </c>
      <c r="O52" s="10">
        <f t="shared" si="57"/>
        <v>-16</v>
      </c>
      <c r="P52" s="10">
        <f t="shared" si="58"/>
        <v>-16</v>
      </c>
      <c r="Q52" s="10">
        <f t="shared" si="59"/>
        <v>-379</v>
      </c>
      <c r="R52" s="9">
        <f t="shared" si="60"/>
        <v>0</v>
      </c>
      <c r="T52" s="5" t="s">
        <v>223</v>
      </c>
      <c r="U52" s="32">
        <v>691798</v>
      </c>
      <c r="V52" s="32">
        <v>2782</v>
      </c>
      <c r="W52" s="32">
        <v>1158</v>
      </c>
      <c r="X52" s="37">
        <v>2142</v>
      </c>
      <c r="Y52" s="37">
        <v>13933247</v>
      </c>
      <c r="Z52" s="37">
        <v>13352713</v>
      </c>
      <c r="AA52" s="37">
        <v>5617856</v>
      </c>
      <c r="AB52" s="37">
        <v>0</v>
      </c>
      <c r="AC52" s="37">
        <v>0</v>
      </c>
      <c r="AD52" s="37">
        <v>469905</v>
      </c>
      <c r="AE52" s="37">
        <v>1988</v>
      </c>
      <c r="AF52" s="32">
        <v>161</v>
      </c>
      <c r="AG52" s="32">
        <v>62</v>
      </c>
      <c r="AH52" s="37">
        <v>1780</v>
      </c>
      <c r="AI52" s="39">
        <f t="shared" si="61"/>
        <v>1.2361111111111112</v>
      </c>
      <c r="AK52" s="9">
        <f t="shared" si="62"/>
        <v>1.5629213483146067</v>
      </c>
      <c r="AL52" s="9">
        <f t="shared" si="63"/>
        <v>0.65056179775280898</v>
      </c>
      <c r="AM52" s="6">
        <f t="shared" si="64"/>
        <v>1.2033707865168539</v>
      </c>
      <c r="AN52" s="8">
        <f t="shared" si="65"/>
        <v>0.95833462221691756</v>
      </c>
      <c r="AO52" s="8">
        <f t="shared" si="66"/>
        <v>4.1665377783082436E-2</v>
      </c>
      <c r="AP52" s="40">
        <f t="shared" si="67"/>
        <v>3156.0988764044946</v>
      </c>
      <c r="AQ52" s="40">
        <f t="shared" si="68"/>
        <v>1.1168539325842697</v>
      </c>
      <c r="AR52" s="40" t="str">
        <f t="shared" si="69"/>
        <v xml:space="preserve"> </v>
      </c>
      <c r="AS52" s="40"/>
      <c r="AT52" s="40">
        <f t="shared" si="70"/>
        <v>263.99157303370788</v>
      </c>
    </row>
    <row r="53" spans="1:46" ht="15" customHeight="1" x14ac:dyDescent="0.25">
      <c r="A53" s="6">
        <f t="shared" si="50"/>
        <v>74.083693749399714</v>
      </c>
      <c r="B53" s="7" t="s">
        <v>11</v>
      </c>
      <c r="C53" s="22" t="s">
        <v>40</v>
      </c>
      <c r="D53" s="13" t="str">
        <f t="shared" si="71"/>
        <v>Hitscan Tracking</v>
      </c>
      <c r="E53" s="4" t="s">
        <v>64</v>
      </c>
      <c r="F53" s="4" t="s">
        <v>91</v>
      </c>
      <c r="H53" s="32">
        <f t="shared" si="51"/>
        <v>30</v>
      </c>
      <c r="I53" s="8">
        <f t="shared" si="52"/>
        <v>0.73333333333333328</v>
      </c>
      <c r="J53" s="9">
        <f t="shared" si="53"/>
        <v>4.3565573770491799</v>
      </c>
      <c r="K53" s="40">
        <f t="shared" si="54"/>
        <v>7186.4520000000002</v>
      </c>
      <c r="L53" s="40">
        <f t="shared" si="55"/>
        <v>3832.3879999999999</v>
      </c>
      <c r="M53" s="40">
        <f t="shared" si="56"/>
        <v>414.69200000000001</v>
      </c>
      <c r="O53" s="10">
        <f t="shared" si="57"/>
        <v>-3</v>
      </c>
      <c r="P53" s="10">
        <f t="shared" si="58"/>
        <v>-3</v>
      </c>
      <c r="Q53" s="10">
        <f t="shared" si="59"/>
        <v>-165</v>
      </c>
      <c r="R53" s="9">
        <f t="shared" si="60"/>
        <v>0</v>
      </c>
      <c r="T53" s="5" t="s">
        <v>116</v>
      </c>
      <c r="U53" s="32">
        <v>103673</v>
      </c>
      <c r="V53" s="32">
        <v>295</v>
      </c>
      <c r="W53" s="32">
        <v>122</v>
      </c>
      <c r="X53" s="32">
        <v>473</v>
      </c>
      <c r="Y53" s="32">
        <v>1796613</v>
      </c>
      <c r="Z53" s="32">
        <v>1701257</v>
      </c>
      <c r="AA53" s="32">
        <v>998126</v>
      </c>
      <c r="AB53" s="32">
        <v>0</v>
      </c>
      <c r="AC53" s="32">
        <v>958097</v>
      </c>
      <c r="AD53" s="32">
        <v>420733</v>
      </c>
      <c r="AE53" s="32">
        <v>1224</v>
      </c>
      <c r="AF53" s="32">
        <v>22</v>
      </c>
      <c r="AG53" s="32">
        <v>8</v>
      </c>
      <c r="AH53" s="37">
        <v>250</v>
      </c>
      <c r="AI53" s="39">
        <f t="shared" si="61"/>
        <v>0.1736111111111111</v>
      </c>
      <c r="AK53" s="9">
        <f t="shared" si="62"/>
        <v>1.18</v>
      </c>
      <c r="AL53" s="9">
        <f t="shared" si="63"/>
        <v>0.48799999999999999</v>
      </c>
      <c r="AM53" s="6">
        <f t="shared" si="64"/>
        <v>1.8919999999999999</v>
      </c>
      <c r="AN53" s="8">
        <f t="shared" si="65"/>
        <v>0.94692457418486897</v>
      </c>
      <c r="AO53" s="8">
        <f t="shared" si="66"/>
        <v>5.3075425815131028E-2</v>
      </c>
      <c r="AP53" s="40">
        <f t="shared" si="67"/>
        <v>3992.5039999999999</v>
      </c>
      <c r="AQ53" s="40">
        <f t="shared" si="68"/>
        <v>4.8959999999999999</v>
      </c>
      <c r="AR53" s="40" t="str">
        <f t="shared" si="69"/>
        <v xml:space="preserve"> </v>
      </c>
      <c r="AS53" s="40"/>
      <c r="AT53" s="40">
        <f t="shared" si="70"/>
        <v>5515.32</v>
      </c>
    </row>
    <row r="54" spans="1:46" ht="15" customHeight="1" x14ac:dyDescent="0.25">
      <c r="A54" s="6">
        <f t="shared" si="50"/>
        <v>77.644110662552748</v>
      </c>
      <c r="B54" s="7" t="s">
        <v>29</v>
      </c>
      <c r="C54" s="22" t="s">
        <v>39</v>
      </c>
      <c r="D54" s="13" t="str">
        <f t="shared" si="71"/>
        <v>Hitscan Tracking</v>
      </c>
      <c r="E54" s="4" t="s">
        <v>64</v>
      </c>
      <c r="F54" s="4" t="s">
        <v>91</v>
      </c>
      <c r="H54" s="32">
        <f t="shared" si="51"/>
        <v>55</v>
      </c>
      <c r="I54" s="8">
        <f t="shared" si="52"/>
        <v>0.76363636363636367</v>
      </c>
      <c r="J54" s="9">
        <f t="shared" si="53"/>
        <v>3.1043478260869564</v>
      </c>
      <c r="K54" s="40">
        <f t="shared" si="54"/>
        <v>7597.7813211845105</v>
      </c>
      <c r="L54" s="40">
        <f t="shared" si="55"/>
        <v>995.28246013667422</v>
      </c>
      <c r="M54" s="40">
        <f t="shared" si="56"/>
        <v>449.3644646924829</v>
      </c>
      <c r="O54" s="10">
        <f t="shared" si="57"/>
        <v>-11</v>
      </c>
      <c r="P54" s="10">
        <f t="shared" si="58"/>
        <v>-11</v>
      </c>
      <c r="Q54" s="10">
        <f t="shared" si="59"/>
        <v>-36</v>
      </c>
      <c r="R54" s="9">
        <f t="shared" si="60"/>
        <v>0</v>
      </c>
      <c r="T54" s="5" t="s">
        <v>119</v>
      </c>
      <c r="U54" s="32">
        <v>197271</v>
      </c>
      <c r="V54" s="32">
        <v>788</v>
      </c>
      <c r="W54" s="32">
        <v>345</v>
      </c>
      <c r="X54" s="37">
        <v>566</v>
      </c>
      <c r="Y54" s="37">
        <v>3335426</v>
      </c>
      <c r="Z54" s="37">
        <v>2391759</v>
      </c>
      <c r="AA54" s="37">
        <v>1914571</v>
      </c>
      <c r="AB54" s="37">
        <v>0</v>
      </c>
      <c r="AC54" s="37">
        <v>436929</v>
      </c>
      <c r="AD54" s="37">
        <v>636879</v>
      </c>
      <c r="AE54" s="37">
        <v>2578</v>
      </c>
      <c r="AF54" s="32">
        <v>42</v>
      </c>
      <c r="AG54" s="32">
        <v>13</v>
      </c>
      <c r="AH54" s="37">
        <v>439</v>
      </c>
      <c r="AI54" s="39">
        <f t="shared" si="61"/>
        <v>0.30486111111111114</v>
      </c>
      <c r="AK54" s="9">
        <f t="shared" si="62"/>
        <v>1.7949886104783599</v>
      </c>
      <c r="AL54" s="9">
        <f t="shared" si="63"/>
        <v>0.78587699316628701</v>
      </c>
      <c r="AM54" s="6">
        <f t="shared" si="64"/>
        <v>1.2892938496583144</v>
      </c>
      <c r="AN54" s="8">
        <f t="shared" si="65"/>
        <v>0.71707751873373893</v>
      </c>
      <c r="AO54" s="8">
        <f t="shared" si="66"/>
        <v>0.28292248126626102</v>
      </c>
      <c r="AP54" s="40">
        <f t="shared" si="67"/>
        <v>4361.2095671981779</v>
      </c>
      <c r="AQ54" s="40">
        <f t="shared" si="68"/>
        <v>5.8724373576309796</v>
      </c>
      <c r="AR54" s="40" t="str">
        <f t="shared" si="69"/>
        <v xml:space="preserve"> </v>
      </c>
      <c r="AS54" s="40"/>
      <c r="AT54" s="40">
        <f t="shared" si="70"/>
        <v>2446.0318906605921</v>
      </c>
    </row>
    <row r="55" spans="1:46" ht="15" customHeight="1" x14ac:dyDescent="0.25">
      <c r="A55" s="6">
        <f t="shared" si="50"/>
        <v>78.823312346165295</v>
      </c>
      <c r="B55" s="7" t="s">
        <v>54</v>
      </c>
      <c r="C55" s="22" t="s">
        <v>38</v>
      </c>
      <c r="D55" s="13" t="str">
        <f t="shared" si="71"/>
        <v>Projectile Repeater</v>
      </c>
      <c r="E55" s="4" t="s">
        <v>65</v>
      </c>
      <c r="F55" s="4" t="s">
        <v>63</v>
      </c>
      <c r="H55" s="32">
        <f t="shared" si="51"/>
        <v>119</v>
      </c>
      <c r="I55" s="8">
        <f t="shared" si="52"/>
        <v>0.69747899159663862</v>
      </c>
      <c r="J55" s="9">
        <f t="shared" si="53"/>
        <v>3.7926421404682276</v>
      </c>
      <c r="K55" s="40">
        <f t="shared" si="54"/>
        <v>8678.7062868369358</v>
      </c>
      <c r="L55" s="40" t="str">
        <f t="shared" si="55"/>
        <v xml:space="preserve"> </v>
      </c>
      <c r="M55" s="40">
        <f t="shared" si="56"/>
        <v>386.05108055009822</v>
      </c>
      <c r="O55" s="10">
        <f t="shared" si="57"/>
        <v>1</v>
      </c>
      <c r="P55" s="10">
        <f t="shared" si="58"/>
        <v>1</v>
      </c>
      <c r="Q55" s="10">
        <f t="shared" si="59"/>
        <v>-474</v>
      </c>
      <c r="R55" s="9">
        <f t="shared" si="60"/>
        <v>0</v>
      </c>
      <c r="T55" s="5" t="s">
        <v>225</v>
      </c>
      <c r="U55" s="32">
        <v>393000</v>
      </c>
      <c r="V55" s="32">
        <v>1692</v>
      </c>
      <c r="W55" s="32">
        <v>598</v>
      </c>
      <c r="X55" s="37">
        <v>1152</v>
      </c>
      <c r="Y55" s="37">
        <v>8834923</v>
      </c>
      <c r="Z55" s="37">
        <v>7409228</v>
      </c>
      <c r="AA55" s="37">
        <v>4036317</v>
      </c>
      <c r="AB55" s="37">
        <v>0</v>
      </c>
      <c r="AC55" s="37">
        <v>0</v>
      </c>
      <c r="AD55" s="37">
        <v>1058720</v>
      </c>
      <c r="AE55" s="37">
        <v>2396</v>
      </c>
      <c r="AF55" s="32">
        <v>83</v>
      </c>
      <c r="AG55" s="32">
        <v>36</v>
      </c>
      <c r="AH55" s="37">
        <v>1018</v>
      </c>
      <c r="AI55" s="39">
        <f t="shared" si="61"/>
        <v>0.70694444444444449</v>
      </c>
      <c r="AK55" s="9">
        <f t="shared" si="62"/>
        <v>1.662082514734774</v>
      </c>
      <c r="AL55" s="9">
        <f t="shared" si="63"/>
        <v>0.58742632612966605</v>
      </c>
      <c r="AM55" s="6">
        <f t="shared" si="64"/>
        <v>1.1316306483300589</v>
      </c>
      <c r="AN55" s="8">
        <f t="shared" si="65"/>
        <v>0.83862960661909558</v>
      </c>
      <c r="AO55" s="8">
        <f t="shared" si="66"/>
        <v>0.16137039338090439</v>
      </c>
      <c r="AP55" s="40">
        <f t="shared" si="67"/>
        <v>3964.9479371316306</v>
      </c>
      <c r="AQ55" s="40">
        <f t="shared" si="68"/>
        <v>2.3536345776031435</v>
      </c>
      <c r="AR55" s="40" t="str">
        <f t="shared" si="69"/>
        <v xml:space="preserve"> </v>
      </c>
      <c r="AS55" s="40"/>
      <c r="AT55" s="40">
        <f t="shared" si="70"/>
        <v>1040</v>
      </c>
    </row>
    <row r="56" spans="1:46" ht="15" customHeight="1" x14ac:dyDescent="0.25">
      <c r="A56" s="6">
        <f t="shared" si="50"/>
        <v>79.887546718837811</v>
      </c>
      <c r="B56" s="7" t="s">
        <v>30</v>
      </c>
      <c r="C56" s="22" t="s">
        <v>39</v>
      </c>
      <c r="D56" s="13" t="str">
        <f t="shared" si="71"/>
        <v>Hitscan Repeater</v>
      </c>
      <c r="E56" s="4" t="s">
        <v>64</v>
      </c>
      <c r="F56" s="4" t="s">
        <v>63</v>
      </c>
      <c r="H56" s="32">
        <f t="shared" si="51"/>
        <v>42</v>
      </c>
      <c r="I56" s="8">
        <f t="shared" si="52"/>
        <v>0.7857142857142857</v>
      </c>
      <c r="J56" s="9">
        <f t="shared" si="53"/>
        <v>3.4616788321167884</v>
      </c>
      <c r="K56" s="40">
        <f t="shared" si="54"/>
        <v>7771.1491002570692</v>
      </c>
      <c r="L56" s="40" t="str">
        <f t="shared" si="55"/>
        <v xml:space="preserve"> </v>
      </c>
      <c r="M56" s="40">
        <f t="shared" si="56"/>
        <v>431.12339331619535</v>
      </c>
      <c r="O56" s="10">
        <f t="shared" si="57"/>
        <v>-12</v>
      </c>
      <c r="P56" s="10">
        <f t="shared" si="58"/>
        <v>-12</v>
      </c>
      <c r="Q56" s="10">
        <f t="shared" si="59"/>
        <v>-126</v>
      </c>
      <c r="R56" s="9">
        <f t="shared" si="60"/>
        <v>0</v>
      </c>
      <c r="T56" s="5" t="s">
        <v>218</v>
      </c>
      <c r="U56" s="32">
        <v>167707</v>
      </c>
      <c r="V56" s="32">
        <v>700</v>
      </c>
      <c r="W56" s="32">
        <v>274</v>
      </c>
      <c r="X56" s="37">
        <v>497</v>
      </c>
      <c r="Y56" s="37">
        <v>3022977</v>
      </c>
      <c r="Z56" s="37">
        <v>2949209</v>
      </c>
      <c r="AA56" s="37">
        <v>1574101</v>
      </c>
      <c r="AB56" s="37">
        <v>0</v>
      </c>
      <c r="AC56" s="37">
        <v>0</v>
      </c>
      <c r="AD56" s="37">
        <v>115901</v>
      </c>
      <c r="AE56" s="37">
        <v>944</v>
      </c>
      <c r="AF56" s="32">
        <v>33</v>
      </c>
      <c r="AG56" s="32">
        <v>9</v>
      </c>
      <c r="AH56" s="37">
        <v>389</v>
      </c>
      <c r="AI56" s="39">
        <f t="shared" si="61"/>
        <v>0.27013888888888887</v>
      </c>
      <c r="AK56" s="9">
        <f t="shared" si="62"/>
        <v>1.7994858611825193</v>
      </c>
      <c r="AL56" s="9">
        <f t="shared" si="63"/>
        <v>0.70437017994858608</v>
      </c>
      <c r="AM56" s="6">
        <f t="shared" si="64"/>
        <v>1.2776349614395888</v>
      </c>
      <c r="AN56" s="8">
        <f t="shared" si="65"/>
        <v>0.97559756491696759</v>
      </c>
      <c r="AO56" s="8">
        <f t="shared" si="66"/>
        <v>2.4402435083032387E-2</v>
      </c>
      <c r="AP56" s="40">
        <f t="shared" si="67"/>
        <v>4046.5321336760926</v>
      </c>
      <c r="AQ56" s="40">
        <f t="shared" si="68"/>
        <v>2.4267352185089974</v>
      </c>
      <c r="AR56" s="40" t="str">
        <f t="shared" si="69"/>
        <v xml:space="preserve"> </v>
      </c>
      <c r="AS56" s="40"/>
      <c r="AT56" s="40">
        <f t="shared" si="70"/>
        <v>297.9460154241645</v>
      </c>
    </row>
    <row r="57" spans="1:46" ht="15" customHeight="1" x14ac:dyDescent="0.25">
      <c r="A57" s="6">
        <f t="shared" si="50"/>
        <v>83.790386821784395</v>
      </c>
      <c r="B57" s="7" t="s">
        <v>13</v>
      </c>
      <c r="C57" s="22" t="s">
        <v>39</v>
      </c>
      <c r="D57" s="13" t="str">
        <f t="shared" si="71"/>
        <v>Projectile Repeater</v>
      </c>
      <c r="E57" s="4" t="s">
        <v>65</v>
      </c>
      <c r="F57" s="4" t="s">
        <v>63</v>
      </c>
      <c r="H57" s="32">
        <f t="shared" si="51"/>
        <v>120</v>
      </c>
      <c r="I57" s="8">
        <f t="shared" si="52"/>
        <v>0.81666666666666665</v>
      </c>
      <c r="J57" s="9">
        <f t="shared" si="53"/>
        <v>3.0549618320610685</v>
      </c>
      <c r="K57" s="40">
        <f t="shared" si="54"/>
        <v>7142.4027777777774</v>
      </c>
      <c r="L57" s="40" t="str">
        <f t="shared" si="55"/>
        <v xml:space="preserve"> </v>
      </c>
      <c r="M57" s="40">
        <f t="shared" si="56"/>
        <v>435.02662037037038</v>
      </c>
      <c r="O57" s="10">
        <f t="shared" si="57"/>
        <v>-46</v>
      </c>
      <c r="P57" s="10">
        <f t="shared" si="58"/>
        <v>-46</v>
      </c>
      <c r="Q57" s="10">
        <f t="shared" si="59"/>
        <v>-36</v>
      </c>
      <c r="R57" s="9">
        <f t="shared" si="60"/>
        <v>0</v>
      </c>
      <c r="T57" s="5" t="s">
        <v>197</v>
      </c>
      <c r="U57" s="32">
        <v>375863</v>
      </c>
      <c r="V57" s="32">
        <v>1472</v>
      </c>
      <c r="W57" s="32">
        <v>655</v>
      </c>
      <c r="X57" s="37">
        <v>1058</v>
      </c>
      <c r="Y57" s="37">
        <v>6171036</v>
      </c>
      <c r="Z57" s="37">
        <v>6058640</v>
      </c>
      <c r="AA57" s="37">
        <v>3142173</v>
      </c>
      <c r="AB57" s="37">
        <v>0</v>
      </c>
      <c r="AC57" s="37">
        <v>0</v>
      </c>
      <c r="AD57" s="37">
        <v>628136</v>
      </c>
      <c r="AE57" s="37">
        <v>2210</v>
      </c>
      <c r="AF57" s="32">
        <v>98</v>
      </c>
      <c r="AG57" s="32">
        <v>22</v>
      </c>
      <c r="AH57" s="37">
        <v>864</v>
      </c>
      <c r="AI57" s="39">
        <f t="shared" si="61"/>
        <v>0.6</v>
      </c>
      <c r="AK57" s="9">
        <f t="shared" si="62"/>
        <v>1.7037037037037037</v>
      </c>
      <c r="AL57" s="9">
        <f t="shared" si="63"/>
        <v>0.75810185185185186</v>
      </c>
      <c r="AM57" s="6">
        <f t="shared" si="64"/>
        <v>1.224537037037037</v>
      </c>
      <c r="AN57" s="8">
        <f t="shared" si="65"/>
        <v>0.98178652660590537</v>
      </c>
      <c r="AO57" s="8">
        <f t="shared" si="66"/>
        <v>1.8213473394094605E-2</v>
      </c>
      <c r="AP57" s="40">
        <f t="shared" si="67"/>
        <v>3636.7743055555557</v>
      </c>
      <c r="AQ57" s="40">
        <f t="shared" si="68"/>
        <v>2.5578703703703702</v>
      </c>
      <c r="AR57" s="40" t="str">
        <f t="shared" si="69"/>
        <v xml:space="preserve"> </v>
      </c>
      <c r="AS57" s="40"/>
      <c r="AT57" s="40">
        <f t="shared" si="70"/>
        <v>727.00925925925924</v>
      </c>
    </row>
    <row r="58" spans="1:46" ht="15" customHeight="1" x14ac:dyDescent="0.25">
      <c r="A58" s="6">
        <f t="shared" si="50"/>
        <v>84.839701697996844</v>
      </c>
      <c r="B58" s="7" t="s">
        <v>35</v>
      </c>
      <c r="C58" s="22" t="s">
        <v>39</v>
      </c>
      <c r="D58" s="13" t="str">
        <f t="shared" si="71"/>
        <v>Hitscan Tracking</v>
      </c>
      <c r="E58" s="4" t="s">
        <v>64</v>
      </c>
      <c r="F58" s="4" t="s">
        <v>91</v>
      </c>
      <c r="H58" s="32">
        <f t="shared" si="51"/>
        <v>86</v>
      </c>
      <c r="I58" s="8">
        <f t="shared" si="52"/>
        <v>0.73255813953488369</v>
      </c>
      <c r="J58" s="9">
        <f t="shared" si="53"/>
        <v>3.5990099009900991</v>
      </c>
      <c r="K58" s="40">
        <f t="shared" si="54"/>
        <v>6630.8759493670887</v>
      </c>
      <c r="L58" s="40" t="str">
        <f t="shared" si="55"/>
        <v xml:space="preserve"> </v>
      </c>
      <c r="M58" s="40">
        <f t="shared" si="56"/>
        <v>422.05569620253164</v>
      </c>
      <c r="O58" s="10">
        <f t="shared" si="57"/>
        <v>-9</v>
      </c>
      <c r="P58" s="10">
        <f t="shared" si="58"/>
        <v>-9</v>
      </c>
      <c r="Q58" s="10">
        <f t="shared" si="59"/>
        <v>-302</v>
      </c>
      <c r="R58" s="9">
        <f t="shared" si="60"/>
        <v>0</v>
      </c>
      <c r="T58" s="5" t="s">
        <v>204</v>
      </c>
      <c r="U58" s="32">
        <v>333424</v>
      </c>
      <c r="V58" s="32">
        <v>1395</v>
      </c>
      <c r="W58" s="32">
        <v>505</v>
      </c>
      <c r="X58" s="37">
        <v>845</v>
      </c>
      <c r="Y58" s="37">
        <v>5238392</v>
      </c>
      <c r="Z58" s="37">
        <v>4977416</v>
      </c>
      <c r="AA58" s="37">
        <v>2743638</v>
      </c>
      <c r="AB58" s="37">
        <v>0</v>
      </c>
      <c r="AC58" s="37">
        <v>0</v>
      </c>
      <c r="AD58" s="37">
        <v>599135</v>
      </c>
      <c r="AE58" s="37">
        <v>6129</v>
      </c>
      <c r="AF58" s="32">
        <v>63</v>
      </c>
      <c r="AG58" s="32">
        <v>23</v>
      </c>
      <c r="AH58" s="37">
        <v>790</v>
      </c>
      <c r="AI58" s="39">
        <f t="shared" si="61"/>
        <v>0.54861111111111116</v>
      </c>
      <c r="AK58" s="9">
        <f t="shared" si="62"/>
        <v>1.7658227848101267</v>
      </c>
      <c r="AL58" s="9">
        <f t="shared" si="63"/>
        <v>0.63924050632911389</v>
      </c>
      <c r="AM58" s="6">
        <f t="shared" si="64"/>
        <v>1.0696202531645569</v>
      </c>
      <c r="AN58" s="8">
        <f t="shared" si="65"/>
        <v>0.95018013161290715</v>
      </c>
      <c r="AO58" s="8">
        <f t="shared" si="66"/>
        <v>4.9819868387092833E-2</v>
      </c>
      <c r="AP58" s="40">
        <f t="shared" si="67"/>
        <v>3472.9594936708859</v>
      </c>
      <c r="AQ58" s="40">
        <f t="shared" si="68"/>
        <v>7.7582278481012654</v>
      </c>
      <c r="AR58" s="40" t="str">
        <f t="shared" si="69"/>
        <v xml:space="preserve"> </v>
      </c>
      <c r="AS58" s="40"/>
      <c r="AT58" s="40">
        <f t="shared" si="70"/>
        <v>758.39873417721515</v>
      </c>
    </row>
    <row r="59" spans="1:46" ht="15" customHeight="1" x14ac:dyDescent="0.25">
      <c r="A59" s="6">
        <f t="shared" si="50"/>
        <v>85.309410918666643</v>
      </c>
      <c r="B59" s="7" t="s">
        <v>24</v>
      </c>
      <c r="C59" s="22" t="s">
        <v>38</v>
      </c>
      <c r="D59" s="13" t="str">
        <f t="shared" si="71"/>
        <v>Projectile Arc</v>
      </c>
      <c r="E59" s="4" t="s">
        <v>65</v>
      </c>
      <c r="F59" s="4" t="s">
        <v>66</v>
      </c>
      <c r="H59" s="32">
        <f t="shared" si="51"/>
        <v>118</v>
      </c>
      <c r="I59" s="8">
        <f t="shared" si="52"/>
        <v>0.77118644067796616</v>
      </c>
      <c r="J59" s="9">
        <f t="shared" si="53"/>
        <v>3.1422287390029324</v>
      </c>
      <c r="K59" s="40">
        <f t="shared" si="54"/>
        <v>7165.705472636816</v>
      </c>
      <c r="L59" s="40" t="str">
        <f t="shared" si="55"/>
        <v xml:space="preserve"> </v>
      </c>
      <c r="M59" s="40">
        <f t="shared" si="56"/>
        <v>456.20099502487562</v>
      </c>
      <c r="O59" s="10">
        <f t="shared" si="57"/>
        <v>-28</v>
      </c>
      <c r="P59" s="10">
        <f t="shared" si="58"/>
        <v>-28</v>
      </c>
      <c r="Q59" s="10">
        <f t="shared" si="59"/>
        <v>-97</v>
      </c>
      <c r="R59" s="9">
        <f t="shared" si="60"/>
        <v>0</v>
      </c>
      <c r="T59" s="5" t="s">
        <v>215</v>
      </c>
      <c r="U59" s="32">
        <v>458482</v>
      </c>
      <c r="V59" s="32">
        <v>1561</v>
      </c>
      <c r="W59" s="32">
        <v>682</v>
      </c>
      <c r="X59" s="37">
        <v>1164</v>
      </c>
      <c r="Y59" s="37">
        <v>7201534</v>
      </c>
      <c r="Z59" s="37">
        <v>6443858</v>
      </c>
      <c r="AA59" s="37">
        <v>4273034</v>
      </c>
      <c r="AB59" s="37">
        <v>0</v>
      </c>
      <c r="AC59" s="37">
        <v>0</v>
      </c>
      <c r="AD59" s="37">
        <v>570644</v>
      </c>
      <c r="AE59" s="37">
        <v>7728</v>
      </c>
      <c r="AF59" s="32">
        <v>91</v>
      </c>
      <c r="AG59" s="32">
        <v>27</v>
      </c>
      <c r="AH59" s="37">
        <v>1005</v>
      </c>
      <c r="AI59" s="39">
        <f t="shared" si="61"/>
        <v>0.69791666666666663</v>
      </c>
      <c r="AK59" s="9">
        <f t="shared" si="62"/>
        <v>1.5532338308457712</v>
      </c>
      <c r="AL59" s="9">
        <f t="shared" si="63"/>
        <v>0.67860696517412933</v>
      </c>
      <c r="AM59" s="6">
        <f t="shared" si="64"/>
        <v>1.1582089552238806</v>
      </c>
      <c r="AN59" s="8">
        <f t="shared" si="65"/>
        <v>0.89478963787437504</v>
      </c>
      <c r="AO59" s="8">
        <f t="shared" si="66"/>
        <v>0.1052103621256249</v>
      </c>
      <c r="AP59" s="40">
        <f t="shared" si="67"/>
        <v>4251.7751243781095</v>
      </c>
      <c r="AQ59" s="40">
        <f t="shared" si="68"/>
        <v>7.6895522388059705</v>
      </c>
      <c r="AR59" s="40" t="str">
        <f t="shared" si="69"/>
        <v xml:space="preserve"> </v>
      </c>
      <c r="AS59" s="40"/>
      <c r="AT59" s="40">
        <f t="shared" si="70"/>
        <v>567.80497512437807</v>
      </c>
    </row>
    <row r="60" spans="1:46" ht="15" customHeight="1" x14ac:dyDescent="0.25">
      <c r="A60" s="6">
        <f t="shared" si="50"/>
        <v>88.720460004366373</v>
      </c>
      <c r="B60" s="7" t="s">
        <v>6</v>
      </c>
      <c r="C60" s="22" t="s">
        <v>38</v>
      </c>
      <c r="D60" s="13" t="str">
        <f t="shared" si="71"/>
        <v>Hitscan Tracking</v>
      </c>
      <c r="E60" s="4" t="s">
        <v>64</v>
      </c>
      <c r="F60" s="12" t="s">
        <v>91</v>
      </c>
      <c r="H60" s="32">
        <f t="shared" si="51"/>
        <v>186</v>
      </c>
      <c r="I60" s="8">
        <f t="shared" si="52"/>
        <v>0.72043010752688175</v>
      </c>
      <c r="J60" s="9">
        <f t="shared" si="53"/>
        <v>3.6765350877192984</v>
      </c>
      <c r="K60" s="40">
        <f t="shared" si="54"/>
        <v>8790.8448867536026</v>
      </c>
      <c r="L60" s="40" t="str">
        <f t="shared" si="55"/>
        <v xml:space="preserve"> </v>
      </c>
      <c r="M60" s="40">
        <f t="shared" si="56"/>
        <v>430.88057652711052</v>
      </c>
      <c r="O60" s="10">
        <f t="shared" si="57"/>
        <v>-12</v>
      </c>
      <c r="P60" s="10">
        <f t="shared" si="58"/>
        <v>-12</v>
      </c>
      <c r="Q60" s="10">
        <f t="shared" si="59"/>
        <v>-617</v>
      </c>
      <c r="R60" s="9">
        <f t="shared" si="60"/>
        <v>0</v>
      </c>
      <c r="T60" s="5" t="s">
        <v>206</v>
      </c>
      <c r="U60" s="32">
        <v>627793</v>
      </c>
      <c r="V60" s="32">
        <v>2339</v>
      </c>
      <c r="W60" s="32">
        <v>912</v>
      </c>
      <c r="X60" s="37">
        <v>2028</v>
      </c>
      <c r="Y60" s="37">
        <v>12808261</v>
      </c>
      <c r="Z60" s="37">
        <v>9366961</v>
      </c>
      <c r="AA60" s="37">
        <v>6220614</v>
      </c>
      <c r="AB60" s="37">
        <v>0</v>
      </c>
      <c r="AC60" s="37">
        <v>0</v>
      </c>
      <c r="AD60" s="37">
        <v>703613</v>
      </c>
      <c r="AE60" s="37">
        <v>3169</v>
      </c>
      <c r="AF60" s="32">
        <v>134</v>
      </c>
      <c r="AG60" s="32">
        <v>52</v>
      </c>
      <c r="AH60" s="37">
        <v>1457</v>
      </c>
      <c r="AI60" s="39">
        <f t="shared" si="61"/>
        <v>1.0118055555555556</v>
      </c>
      <c r="AK60" s="9">
        <f t="shared" si="62"/>
        <v>1.6053534660260811</v>
      </c>
      <c r="AL60" s="9">
        <f t="shared" si="63"/>
        <v>0.62594371997254628</v>
      </c>
      <c r="AM60" s="6">
        <f t="shared" si="64"/>
        <v>1.391901166781057</v>
      </c>
      <c r="AN60" s="8">
        <f t="shared" si="65"/>
        <v>0.73132183986569288</v>
      </c>
      <c r="AO60" s="8">
        <f t="shared" si="66"/>
        <v>0.26867816013430706</v>
      </c>
      <c r="AP60" s="40">
        <f t="shared" si="67"/>
        <v>4269.4673987645847</v>
      </c>
      <c r="AQ60" s="40">
        <f t="shared" si="68"/>
        <v>2.1750171585449554</v>
      </c>
      <c r="AR60" s="40" t="str">
        <f t="shared" si="69"/>
        <v xml:space="preserve"> </v>
      </c>
      <c r="AS60" s="40"/>
      <c r="AT60" s="40">
        <f t="shared" si="70"/>
        <v>482.91901166781059</v>
      </c>
    </row>
    <row r="61" spans="1:46" ht="15" customHeight="1" x14ac:dyDescent="0.25">
      <c r="A61" s="6">
        <f t="shared" si="50"/>
        <v>88.750394399984046</v>
      </c>
      <c r="B61" s="7" t="s">
        <v>31</v>
      </c>
      <c r="C61" s="22" t="s">
        <v>38</v>
      </c>
      <c r="D61" s="13" t="str">
        <f t="shared" si="71"/>
        <v>Hitscan Tracking</v>
      </c>
      <c r="E61" s="4" t="s">
        <v>64</v>
      </c>
      <c r="F61" s="4" t="s">
        <v>91</v>
      </c>
      <c r="H61" s="32">
        <f t="shared" si="51"/>
        <v>94</v>
      </c>
      <c r="I61" s="8">
        <f t="shared" si="52"/>
        <v>0.72340425531914898</v>
      </c>
      <c r="J61" s="9">
        <f t="shared" si="53"/>
        <v>3.6606463878326996</v>
      </c>
      <c r="K61" s="40">
        <f t="shared" si="54"/>
        <v>7976.0721040189128</v>
      </c>
      <c r="L61" s="40" t="str">
        <f t="shared" si="55"/>
        <v xml:space="preserve"> </v>
      </c>
      <c r="M61" s="40">
        <f t="shared" si="56"/>
        <v>437.66075650118205</v>
      </c>
      <c r="O61" s="10">
        <f t="shared" si="57"/>
        <v>-7</v>
      </c>
      <c r="P61" s="10">
        <f t="shared" si="58"/>
        <v>-7</v>
      </c>
      <c r="Q61" s="10">
        <f t="shared" si="59"/>
        <v>-347</v>
      </c>
      <c r="R61" s="9">
        <f t="shared" si="60"/>
        <v>0</v>
      </c>
      <c r="T61" s="5" t="s">
        <v>203</v>
      </c>
      <c r="U61" s="32">
        <v>370261</v>
      </c>
      <c r="V61" s="32">
        <v>1364</v>
      </c>
      <c r="W61" s="32">
        <v>526</v>
      </c>
      <c r="X61" s="37">
        <v>1123</v>
      </c>
      <c r="Y61" s="37">
        <v>6747757</v>
      </c>
      <c r="Z61" s="37">
        <v>4236064</v>
      </c>
      <c r="AA61" s="37">
        <v>3156323</v>
      </c>
      <c r="AB61" s="37">
        <v>0</v>
      </c>
      <c r="AC61" s="37">
        <v>0</v>
      </c>
      <c r="AD61" s="37">
        <v>337870</v>
      </c>
      <c r="AE61" s="37">
        <v>6154</v>
      </c>
      <c r="AF61" s="32">
        <v>68</v>
      </c>
      <c r="AG61" s="32">
        <v>26</v>
      </c>
      <c r="AH61" s="37">
        <v>846</v>
      </c>
      <c r="AI61" s="39">
        <f t="shared" si="61"/>
        <v>0.58750000000000002</v>
      </c>
      <c r="AK61" s="9">
        <f t="shared" si="62"/>
        <v>1.6122931442080379</v>
      </c>
      <c r="AL61" s="9">
        <f t="shared" si="63"/>
        <v>0.62174940898345155</v>
      </c>
      <c r="AM61" s="6">
        <f t="shared" si="64"/>
        <v>1.3274231678486998</v>
      </c>
      <c r="AN61" s="8">
        <f t="shared" si="65"/>
        <v>0.6277736438938154</v>
      </c>
      <c r="AO61" s="8">
        <f t="shared" si="66"/>
        <v>0.3722263561061846</v>
      </c>
      <c r="AP61" s="40">
        <f t="shared" si="67"/>
        <v>3730.8782505910167</v>
      </c>
      <c r="AQ61" s="40">
        <f t="shared" si="68"/>
        <v>7.2742316784869976</v>
      </c>
      <c r="AR61" s="40" t="str">
        <f t="shared" si="69"/>
        <v xml:space="preserve"> </v>
      </c>
      <c r="AS61" s="40"/>
      <c r="AT61" s="40">
        <f t="shared" si="70"/>
        <v>399.37352245862883</v>
      </c>
    </row>
    <row r="62" spans="1:46" ht="15" customHeight="1" x14ac:dyDescent="0.25">
      <c r="A62" s="6">
        <f t="shared" si="50"/>
        <v>97.80995866783735</v>
      </c>
      <c r="B62" s="7" t="s">
        <v>51</v>
      </c>
      <c r="C62" s="22" t="s">
        <v>40</v>
      </c>
      <c r="D62" s="13" t="str">
        <f t="shared" si="71"/>
        <v>Hitscan Tracking</v>
      </c>
      <c r="E62" s="4" t="s">
        <v>64</v>
      </c>
      <c r="F62" s="4" t="s">
        <v>91</v>
      </c>
      <c r="H62" s="32">
        <f t="shared" si="51"/>
        <v>26</v>
      </c>
      <c r="I62" s="8">
        <f t="shared" si="52"/>
        <v>0.84615384615384615</v>
      </c>
      <c r="J62" s="9">
        <f t="shared" si="53"/>
        <v>5.2941176470588234</v>
      </c>
      <c r="K62" s="40">
        <f t="shared" si="54"/>
        <v>2943.8852459016393</v>
      </c>
      <c r="L62" s="40">
        <f t="shared" si="55"/>
        <v>7174</v>
      </c>
      <c r="M62" s="40">
        <f t="shared" si="56"/>
        <v>457.71584699453553</v>
      </c>
      <c r="O62" s="10">
        <f t="shared" si="57"/>
        <v>-12</v>
      </c>
      <c r="P62" s="10">
        <f t="shared" si="58"/>
        <v>-12</v>
      </c>
      <c r="Q62" s="10">
        <f t="shared" si="59"/>
        <v>-156</v>
      </c>
      <c r="R62" s="9">
        <f t="shared" si="60"/>
        <v>0</v>
      </c>
      <c r="T62" s="5" t="s">
        <v>221</v>
      </c>
      <c r="U62" s="32">
        <v>83762</v>
      </c>
      <c r="V62" s="32">
        <v>81</v>
      </c>
      <c r="W62" s="32">
        <v>68</v>
      </c>
      <c r="X62" s="37">
        <v>558</v>
      </c>
      <c r="Y62" s="37">
        <v>538731</v>
      </c>
      <c r="Z62" s="37">
        <v>483443</v>
      </c>
      <c r="AA62" s="37">
        <v>499063</v>
      </c>
      <c r="AB62" s="37">
        <v>5070</v>
      </c>
      <c r="AC62" s="37">
        <v>1312842</v>
      </c>
      <c r="AD62" s="37">
        <v>176190</v>
      </c>
      <c r="AE62" s="37">
        <v>1121</v>
      </c>
      <c r="AF62" s="32">
        <v>22</v>
      </c>
      <c r="AG62" s="32">
        <v>4</v>
      </c>
      <c r="AH62" s="37">
        <v>183</v>
      </c>
      <c r="AI62" s="39">
        <f t="shared" si="61"/>
        <v>0.12708333333333333</v>
      </c>
      <c r="AK62" s="9">
        <f t="shared" si="62"/>
        <v>0.44262295081967212</v>
      </c>
      <c r="AL62" s="9">
        <f t="shared" si="63"/>
        <v>0.37158469945355194</v>
      </c>
      <c r="AM62" s="6">
        <f t="shared" si="64"/>
        <v>3.0491803278688523</v>
      </c>
      <c r="AN62" s="8">
        <f t="shared" si="65"/>
        <v>0.89737364287557242</v>
      </c>
      <c r="AO62" s="8">
        <f t="shared" si="66"/>
        <v>0.10262635712442759</v>
      </c>
      <c r="AP62" s="40">
        <f t="shared" si="67"/>
        <v>2727.1202185792349</v>
      </c>
      <c r="AQ62" s="40">
        <f t="shared" si="68"/>
        <v>6.1256830601092895</v>
      </c>
      <c r="AR62" s="40">
        <f t="shared" si="69"/>
        <v>27.704918032786885</v>
      </c>
      <c r="AS62" s="40"/>
      <c r="AT62" s="40">
        <f t="shared" si="70"/>
        <v>8136.7868852459014</v>
      </c>
    </row>
    <row r="63" spans="1:46" ht="15" customHeight="1" x14ac:dyDescent="0.25">
      <c r="A63" s="6">
        <f t="shared" si="50"/>
        <v>107.58560725494978</v>
      </c>
      <c r="B63" s="7" t="s">
        <v>12</v>
      </c>
      <c r="C63" s="22" t="s">
        <v>40</v>
      </c>
      <c r="D63" s="13" t="str">
        <f t="shared" si="71"/>
        <v>Hitscan Tracking Repeater</v>
      </c>
      <c r="E63" s="12" t="s">
        <v>64</v>
      </c>
      <c r="F63" s="12" t="s">
        <v>92</v>
      </c>
      <c r="H63" s="32">
        <f t="shared" si="51"/>
        <v>79</v>
      </c>
      <c r="I63" s="8">
        <f t="shared" si="52"/>
        <v>0.77215189873417722</v>
      </c>
      <c r="J63" s="9">
        <f t="shared" si="53"/>
        <v>4.9400684931506849</v>
      </c>
      <c r="K63" s="40">
        <f t="shared" si="54"/>
        <v>4365.764192139738</v>
      </c>
      <c r="L63" s="40">
        <f t="shared" si="55"/>
        <v>4656.4366812227072</v>
      </c>
      <c r="M63" s="40">
        <f t="shared" si="56"/>
        <v>371.82969432314411</v>
      </c>
      <c r="O63" s="10">
        <f t="shared" si="57"/>
        <v>-19</v>
      </c>
      <c r="P63" s="10">
        <f t="shared" si="58"/>
        <v>-19</v>
      </c>
      <c r="Q63" s="10">
        <f t="shared" si="59"/>
        <v>-566</v>
      </c>
      <c r="R63" s="9">
        <f t="shared" si="60"/>
        <v>0</v>
      </c>
      <c r="T63" s="5" t="s">
        <v>235</v>
      </c>
      <c r="U63" s="32">
        <v>255447</v>
      </c>
      <c r="V63" s="32">
        <v>635</v>
      </c>
      <c r="W63" s="32">
        <v>292</v>
      </c>
      <c r="X63" s="37">
        <v>1615</v>
      </c>
      <c r="Y63" s="37">
        <v>2999280</v>
      </c>
      <c r="Z63" s="37">
        <v>2626650</v>
      </c>
      <c r="AA63" s="37">
        <v>1953941</v>
      </c>
      <c r="AB63" s="37">
        <v>0</v>
      </c>
      <c r="AC63" s="37">
        <v>3198972</v>
      </c>
      <c r="AD63" s="37">
        <v>748485</v>
      </c>
      <c r="AE63" s="37">
        <v>2555</v>
      </c>
      <c r="AF63" s="32">
        <v>61</v>
      </c>
      <c r="AG63" s="32">
        <v>18</v>
      </c>
      <c r="AH63" s="37">
        <v>687</v>
      </c>
      <c r="AI63" s="39">
        <f t="shared" si="61"/>
        <v>0.47708333333333336</v>
      </c>
      <c r="AK63" s="9">
        <f t="shared" si="62"/>
        <v>0.92430858806404659</v>
      </c>
      <c r="AL63" s="9">
        <f t="shared" si="63"/>
        <v>0.42503639010189226</v>
      </c>
      <c r="AM63" s="6">
        <f t="shared" si="64"/>
        <v>2.3508005822416305</v>
      </c>
      <c r="AN63" s="8">
        <f t="shared" si="65"/>
        <v>0.87576018244378651</v>
      </c>
      <c r="AO63" s="8">
        <f t="shared" si="66"/>
        <v>0.12423981755621349</v>
      </c>
      <c r="AP63" s="40">
        <f t="shared" si="67"/>
        <v>2844.164483260553</v>
      </c>
      <c r="AQ63" s="40">
        <f t="shared" si="68"/>
        <v>3.7190684133915575</v>
      </c>
      <c r="AR63" s="40" t="str">
        <f t="shared" si="69"/>
        <v xml:space="preserve"> </v>
      </c>
      <c r="AS63" s="40"/>
      <c r="AT63" s="40">
        <f t="shared" si="70"/>
        <v>5745.9344978165936</v>
      </c>
    </row>
    <row r="64" spans="1:46" ht="15" customHeight="1" x14ac:dyDescent="0.25">
      <c r="A64" s="6">
        <f t="shared" si="50"/>
        <v>109.09994822757407</v>
      </c>
      <c r="B64" s="7" t="s">
        <v>27</v>
      </c>
      <c r="C64" s="22" t="s">
        <v>38</v>
      </c>
      <c r="D64" s="13" t="str">
        <f t="shared" si="71"/>
        <v>Hitscan Tracking</v>
      </c>
      <c r="E64" s="4" t="s">
        <v>64</v>
      </c>
      <c r="F64" s="4" t="s">
        <v>91</v>
      </c>
      <c r="H64" s="32">
        <f t="shared" si="51"/>
        <v>76</v>
      </c>
      <c r="I64" s="8">
        <f t="shared" si="52"/>
        <v>0.72368421052631582</v>
      </c>
      <c r="J64" s="9">
        <f t="shared" si="53"/>
        <v>4.5030395136778116</v>
      </c>
      <c r="K64" s="40">
        <f t="shared" si="54"/>
        <v>8355.885665529011</v>
      </c>
      <c r="L64" s="40" t="str">
        <f t="shared" si="55"/>
        <v xml:space="preserve"> </v>
      </c>
      <c r="M64" s="40">
        <f t="shared" si="56"/>
        <v>442.5665529010239</v>
      </c>
      <c r="O64" s="10">
        <f t="shared" si="57"/>
        <v>-6</v>
      </c>
      <c r="P64" s="10">
        <f t="shared" si="58"/>
        <v>-6</v>
      </c>
      <c r="Q64" s="10">
        <f t="shared" si="59"/>
        <v>-494</v>
      </c>
      <c r="R64" s="9">
        <f t="shared" si="60"/>
        <v>0</v>
      </c>
      <c r="T64" s="5" t="s">
        <v>118</v>
      </c>
      <c r="U64" s="32">
        <v>259344</v>
      </c>
      <c r="V64" s="32">
        <v>1030</v>
      </c>
      <c r="W64" s="32">
        <v>329</v>
      </c>
      <c r="X64" s="37">
        <v>903</v>
      </c>
      <c r="Y64" s="37">
        <v>4896549</v>
      </c>
      <c r="Z64" s="37">
        <v>4001061</v>
      </c>
      <c r="AA64" s="37">
        <v>2116534</v>
      </c>
      <c r="AB64" s="37">
        <v>618711</v>
      </c>
      <c r="AC64" s="37">
        <v>0</v>
      </c>
      <c r="AD64" s="37">
        <v>207576</v>
      </c>
      <c r="AE64" s="37">
        <v>1510</v>
      </c>
      <c r="AF64" s="32">
        <v>55</v>
      </c>
      <c r="AG64" s="32">
        <v>21</v>
      </c>
      <c r="AH64" s="37">
        <v>586</v>
      </c>
      <c r="AI64" s="39">
        <f t="shared" si="61"/>
        <v>0.40694444444444444</v>
      </c>
      <c r="AK64" s="9">
        <f t="shared" si="62"/>
        <v>1.757679180887372</v>
      </c>
      <c r="AL64" s="9">
        <f t="shared" si="63"/>
        <v>0.56143344709897613</v>
      </c>
      <c r="AM64" s="6">
        <f t="shared" si="64"/>
        <v>1.5409556313993173</v>
      </c>
      <c r="AN64" s="8">
        <f t="shared" si="65"/>
        <v>0.8171185461434165</v>
      </c>
      <c r="AO64" s="8">
        <f t="shared" si="66"/>
        <v>0.18288145385658347</v>
      </c>
      <c r="AP64" s="40">
        <f t="shared" si="67"/>
        <v>3611.8327645051195</v>
      </c>
      <c r="AQ64" s="40">
        <f t="shared" si="68"/>
        <v>2.5767918088737201</v>
      </c>
      <c r="AR64" s="40">
        <f t="shared" si="69"/>
        <v>1055.820819112628</v>
      </c>
      <c r="AS64" s="40"/>
      <c r="AT64" s="40">
        <f t="shared" si="70"/>
        <v>354.22525597269623</v>
      </c>
    </row>
    <row r="65" spans="1:46" x14ac:dyDescent="0.25">
      <c r="A65" s="6" t="str">
        <f t="shared" si="50"/>
        <v xml:space="preserve"> </v>
      </c>
      <c r="B65" s="4" t="s">
        <v>238</v>
      </c>
      <c r="C65" s="22" t="s">
        <v>38</v>
      </c>
      <c r="H65" s="32" t="str">
        <f t="shared" si="51"/>
        <v xml:space="preserve"> </v>
      </c>
      <c r="I65" s="8" t="str">
        <f t="shared" si="52"/>
        <v/>
      </c>
      <c r="J65" s="9" t="str">
        <f t="shared" si="53"/>
        <v xml:space="preserve"> </v>
      </c>
      <c r="K65" s="40" t="str">
        <f t="shared" si="54"/>
        <v xml:space="preserve"> </v>
      </c>
      <c r="L65" s="40" t="str">
        <f t="shared" si="55"/>
        <v xml:space="preserve"> </v>
      </c>
      <c r="M65" s="40" t="str">
        <f t="shared" si="56"/>
        <v xml:space="preserve"> </v>
      </c>
      <c r="O65" s="10" t="str">
        <f t="shared" si="57"/>
        <v xml:space="preserve"> </v>
      </c>
      <c r="P65" s="10" t="str">
        <f t="shared" si="58"/>
        <v xml:space="preserve"> </v>
      </c>
      <c r="Q65" s="10" t="str">
        <f t="shared" si="59"/>
        <v xml:space="preserve"> </v>
      </c>
      <c r="R65" s="9" t="e">
        <f t="shared" si="60"/>
        <v>#VALUE!</v>
      </c>
      <c r="AI65" s="39" t="str">
        <f t="shared" si="61"/>
        <v xml:space="preserve"> </v>
      </c>
      <c r="AK65" s="9" t="str">
        <f t="shared" si="62"/>
        <v xml:space="preserve"> </v>
      </c>
      <c r="AL65" s="9" t="str">
        <f t="shared" si="63"/>
        <v xml:space="preserve"> </v>
      </c>
      <c r="AM65" s="6" t="str">
        <f t="shared" si="64"/>
        <v xml:space="preserve"> </v>
      </c>
      <c r="AN65" s="8" t="str">
        <f t="shared" si="65"/>
        <v xml:space="preserve"> </v>
      </c>
      <c r="AO65" s="8" t="str">
        <f t="shared" si="66"/>
        <v xml:space="preserve"> </v>
      </c>
      <c r="AP65" s="40" t="str">
        <f t="shared" si="67"/>
        <v xml:space="preserve"> </v>
      </c>
      <c r="AQ65" s="40" t="str">
        <f t="shared" si="68"/>
        <v xml:space="preserve"> </v>
      </c>
      <c r="AR65" s="40" t="str">
        <f t="shared" si="69"/>
        <v xml:space="preserve"> </v>
      </c>
      <c r="AT65" s="40" t="str">
        <f t="shared" si="70"/>
        <v xml:space="preserve"> </v>
      </c>
    </row>
    <row r="66" spans="1:46" x14ac:dyDescent="0.25">
      <c r="A66" s="6" t="str">
        <f t="shared" si="50"/>
        <v xml:space="preserve"> </v>
      </c>
      <c r="B66" s="4" t="s">
        <v>239</v>
      </c>
      <c r="C66" s="22" t="s">
        <v>37</v>
      </c>
      <c r="H66" s="32" t="str">
        <f t="shared" si="51"/>
        <v xml:space="preserve"> </v>
      </c>
      <c r="I66" s="8" t="str">
        <f t="shared" si="52"/>
        <v/>
      </c>
      <c r="J66" s="9" t="str">
        <f t="shared" si="53"/>
        <v xml:space="preserve"> </v>
      </c>
      <c r="K66" s="40" t="str">
        <f t="shared" si="54"/>
        <v xml:space="preserve"> </v>
      </c>
      <c r="L66" s="40" t="str">
        <f t="shared" si="55"/>
        <v xml:space="preserve"> </v>
      </c>
      <c r="M66" s="40" t="str">
        <f t="shared" si="56"/>
        <v xml:space="preserve"> </v>
      </c>
      <c r="O66" s="10" t="str">
        <f t="shared" si="57"/>
        <v xml:space="preserve"> </v>
      </c>
      <c r="P66" s="10" t="str">
        <f t="shared" si="58"/>
        <v xml:space="preserve"> </v>
      </c>
      <c r="Q66" s="10" t="str">
        <f t="shared" si="59"/>
        <v xml:space="preserve"> </v>
      </c>
      <c r="R66" s="9" t="e">
        <f t="shared" si="60"/>
        <v>#VALUE!</v>
      </c>
      <c r="AI66" s="39" t="str">
        <f t="shared" si="61"/>
        <v xml:space="preserve"> </v>
      </c>
      <c r="AK66" s="9" t="str">
        <f t="shared" si="62"/>
        <v xml:space="preserve"> </v>
      </c>
      <c r="AL66" s="9" t="str">
        <f t="shared" si="63"/>
        <v xml:space="preserve"> </v>
      </c>
      <c r="AM66" s="6" t="str">
        <f t="shared" si="64"/>
        <v xml:space="preserve"> </v>
      </c>
      <c r="AN66" s="8" t="str">
        <f t="shared" si="65"/>
        <v xml:space="preserve"> </v>
      </c>
      <c r="AO66" s="8" t="str">
        <f t="shared" si="66"/>
        <v xml:space="preserve"> </v>
      </c>
      <c r="AP66" s="40" t="str">
        <f t="shared" si="67"/>
        <v xml:space="preserve"> </v>
      </c>
      <c r="AQ66" s="40" t="str">
        <f t="shared" si="68"/>
        <v xml:space="preserve"> </v>
      </c>
      <c r="AR66" s="40" t="str">
        <f t="shared" si="69"/>
        <v xml:space="preserve"> </v>
      </c>
      <c r="AT66" s="40" t="str">
        <f t="shared" si="70"/>
        <v xml:space="preserve"> </v>
      </c>
    </row>
    <row r="67" spans="1:46" x14ac:dyDescent="0.25">
      <c r="A67" s="6" t="str">
        <f t="shared" si="50"/>
        <v xml:space="preserve"> </v>
      </c>
      <c r="B67" s="4" t="s">
        <v>237</v>
      </c>
      <c r="C67" s="22" t="s">
        <v>40</v>
      </c>
      <c r="H67" s="32" t="str">
        <f t="shared" si="51"/>
        <v xml:space="preserve"> </v>
      </c>
      <c r="I67" s="8" t="str">
        <f t="shared" si="52"/>
        <v/>
      </c>
      <c r="J67" s="9" t="str">
        <f t="shared" si="53"/>
        <v xml:space="preserve"> </v>
      </c>
      <c r="K67" s="40" t="str">
        <f t="shared" si="54"/>
        <v xml:space="preserve"> </v>
      </c>
      <c r="L67" s="40" t="str">
        <f t="shared" si="55"/>
        <v xml:space="preserve"> </v>
      </c>
      <c r="M67" s="40" t="str">
        <f t="shared" si="56"/>
        <v xml:space="preserve"> </v>
      </c>
      <c r="O67" s="10" t="str">
        <f t="shared" si="57"/>
        <v xml:space="preserve"> </v>
      </c>
      <c r="P67" s="10" t="str">
        <f t="shared" si="58"/>
        <v xml:space="preserve"> </v>
      </c>
      <c r="Q67" s="10" t="str">
        <f t="shared" si="59"/>
        <v xml:space="preserve"> </v>
      </c>
      <c r="R67" s="9" t="e">
        <f t="shared" si="60"/>
        <v>#VALUE!</v>
      </c>
      <c r="AI67" s="39" t="str">
        <f t="shared" si="61"/>
        <v xml:space="preserve"> </v>
      </c>
      <c r="AK67" s="9" t="str">
        <f t="shared" si="62"/>
        <v xml:space="preserve"> </v>
      </c>
      <c r="AL67" s="9" t="str">
        <f t="shared" si="63"/>
        <v xml:space="preserve"> </v>
      </c>
      <c r="AM67" s="6" t="str">
        <f t="shared" si="64"/>
        <v xml:space="preserve"> </v>
      </c>
      <c r="AN67" s="8" t="str">
        <f t="shared" si="65"/>
        <v xml:space="preserve"> </v>
      </c>
      <c r="AO67" s="8" t="str">
        <f t="shared" si="66"/>
        <v xml:space="preserve"> </v>
      </c>
      <c r="AP67" s="40" t="str">
        <f t="shared" si="67"/>
        <v xml:space="preserve"> </v>
      </c>
      <c r="AQ67" s="40" t="str">
        <f t="shared" si="68"/>
        <v xml:space="preserve"> </v>
      </c>
      <c r="AR67" s="40" t="str">
        <f t="shared" si="69"/>
        <v xml:space="preserve"> </v>
      </c>
      <c r="AT67" s="40" t="str">
        <f t="shared" si="70"/>
        <v xml:space="preserve"> </v>
      </c>
    </row>
  </sheetData>
  <autoFilter ref="A15:AT15" xr:uid="{6BD8CC1A-3F48-4301-B6E5-53F6158EDE9E}">
    <sortState xmlns:xlrd2="http://schemas.microsoft.com/office/spreadsheetml/2017/richdata2" ref="A16:AT67">
      <sortCondition ref="A15"/>
    </sortState>
  </autoFilter>
  <mergeCells count="2">
    <mergeCell ref="A1:A6"/>
    <mergeCell ref="A8:A14"/>
  </mergeCells>
  <conditionalFormatting sqref="A16:A67">
    <cfRule type="colorScale" priority="47">
      <colorScale>
        <cfvo type="min"/>
        <cfvo type="max"/>
        <color rgb="FFFFEF9C"/>
        <color rgb="FF63BE7B"/>
      </colorScale>
    </cfRule>
  </conditionalFormatting>
  <conditionalFormatting sqref="H16:H67">
    <cfRule type="colorScale" priority="46">
      <colorScale>
        <cfvo type="min"/>
        <cfvo type="formula" val="$F$2"/>
        <color rgb="FFFFEF9C"/>
        <color rgb="FF63BE7B"/>
      </colorScale>
    </cfRule>
  </conditionalFormatting>
  <conditionalFormatting sqref="I16:I67">
    <cfRule type="colorScale" priority="45">
      <colorScale>
        <cfvo type="min"/>
        <cfvo type="formula" val="$D$2"/>
        <color rgb="FFFFEF9C"/>
        <color rgb="FF63BE7B"/>
      </colorScale>
    </cfRule>
  </conditionalFormatting>
  <conditionalFormatting sqref="J16:J67">
    <cfRule type="colorScale" priority="44">
      <colorScale>
        <cfvo type="min"/>
        <cfvo type="formula" val="$E$2"/>
        <color rgb="FFFFEF9C"/>
        <color rgb="FF63BE7B"/>
      </colorScale>
    </cfRule>
  </conditionalFormatting>
  <conditionalFormatting sqref="O16:O67">
    <cfRule type="colorScale" priority="43">
      <colorScale>
        <cfvo type="min"/>
        <cfvo type="max"/>
        <color rgb="FF63BE7B"/>
        <color rgb="FFFFEF9C"/>
      </colorScale>
    </cfRule>
  </conditionalFormatting>
  <conditionalFormatting sqref="Q16:Q67">
    <cfRule type="colorScale" priority="42">
      <colorScale>
        <cfvo type="min"/>
        <cfvo type="max"/>
        <color rgb="FF63BE7B"/>
        <color rgb="FFFFEF9C"/>
      </colorScale>
    </cfRule>
  </conditionalFormatting>
  <conditionalFormatting sqref="R16:R67">
    <cfRule type="colorScale" priority="41">
      <colorScale>
        <cfvo type="min"/>
        <cfvo type="max"/>
        <color rgb="FF63BE7B"/>
        <color rgb="FFFFEF9C"/>
      </colorScale>
    </cfRule>
  </conditionalFormatting>
  <conditionalFormatting sqref="B3:B7">
    <cfRule type="colorScale" priority="40">
      <colorScale>
        <cfvo type="min"/>
        <cfvo type="max"/>
        <color rgb="FFFFEF9C"/>
        <color rgb="FF63BE7B"/>
      </colorScale>
    </cfRule>
  </conditionalFormatting>
  <conditionalFormatting sqref="B8:B14">
    <cfRule type="colorScale" priority="36">
      <colorScale>
        <cfvo type="min"/>
        <cfvo type="max"/>
        <color rgb="FFFFEF9C"/>
        <color rgb="FF63BE7B"/>
      </colorScale>
    </cfRule>
  </conditionalFormatting>
  <conditionalFormatting sqref="H3:H7">
    <cfRule type="colorScale" priority="39">
      <colorScale>
        <cfvo type="min"/>
        <cfvo type="max"/>
        <color rgb="FFFFEF9C"/>
        <color rgb="FF63BE7B"/>
      </colorScale>
    </cfRule>
  </conditionalFormatting>
  <conditionalFormatting sqref="I3:I7">
    <cfRule type="colorScale" priority="38">
      <colorScale>
        <cfvo type="min"/>
        <cfvo type="max"/>
        <color rgb="FFFFEF9C"/>
        <color rgb="FF63BE7B"/>
      </colorScale>
    </cfRule>
  </conditionalFormatting>
  <conditionalFormatting sqref="J3:J7">
    <cfRule type="colorScale" priority="37">
      <colorScale>
        <cfvo type="min"/>
        <cfvo type="max"/>
        <color rgb="FFFFEF9C"/>
        <color rgb="FF63BE7B"/>
      </colorScale>
    </cfRule>
  </conditionalFormatting>
  <conditionalFormatting sqref="B3:B6">
    <cfRule type="colorScale" priority="35">
      <colorScale>
        <cfvo type="min"/>
        <cfvo type="max"/>
        <color rgb="FFFFEF9C"/>
        <color rgb="FF63BE7B"/>
      </colorScale>
    </cfRule>
  </conditionalFormatting>
  <conditionalFormatting sqref="B16:B64">
    <cfRule type="expression" dxfId="19" priority="34">
      <formula>IF(H16=" "," ",AND(I16&gt;=SUMIF($C$3:$C$6,$C16,$D$3:$D$6),J16&gt;=SUMIF($C$3:$C$6,$C16,$E$3:$E$6),H16&gt;=SUMIF($C$3:$C$6,$C16,$F$3:$F$6)))</formula>
    </cfRule>
  </conditionalFormatting>
  <conditionalFormatting sqref="AI16:AI67">
    <cfRule type="colorScale" priority="33">
      <colorScale>
        <cfvo type="min"/>
        <cfvo type="max"/>
        <color rgb="FFFFEF9C"/>
        <color rgb="FF63BE7B"/>
      </colorScale>
    </cfRule>
  </conditionalFormatting>
  <conditionalFormatting sqref="K16:K31">
    <cfRule type="colorScale" priority="32">
      <colorScale>
        <cfvo type="min"/>
        <cfvo type="max"/>
        <color rgb="FFFFEF9C"/>
        <color rgb="FF63BE7B"/>
      </colorScale>
    </cfRule>
  </conditionalFormatting>
  <conditionalFormatting sqref="K32:K42">
    <cfRule type="colorScale" priority="31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30">
      <colorScale>
        <cfvo type="min"/>
        <cfvo type="max"/>
        <color rgb="FFFFEF9C"/>
        <color rgb="FF63BE7B"/>
      </colorScale>
    </cfRule>
  </conditionalFormatting>
  <conditionalFormatting sqref="L54:L67">
    <cfRule type="colorScale" priority="29">
      <colorScale>
        <cfvo type="min"/>
        <cfvo type="max"/>
        <color rgb="FFFFEF9C"/>
        <color rgb="FF63BE7B"/>
      </colorScale>
    </cfRule>
  </conditionalFormatting>
  <conditionalFormatting sqref="K54:K67">
    <cfRule type="colorScale" priority="28">
      <colorScale>
        <cfvo type="min"/>
        <cfvo type="max"/>
        <color rgb="FFFFEF9C"/>
        <color rgb="FF63BE7B"/>
      </colorScale>
    </cfRule>
  </conditionalFormatting>
  <conditionalFormatting sqref="M16:M31">
    <cfRule type="colorScale" priority="27">
      <colorScale>
        <cfvo type="min"/>
        <cfvo type="max"/>
        <color rgb="FFFFEF9C"/>
        <color rgb="FF63BE7B"/>
      </colorScale>
    </cfRule>
  </conditionalFormatting>
  <conditionalFormatting sqref="M32:M42">
    <cfRule type="colorScale" priority="25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:M53">
    <cfRule type="colorScale" priority="24">
      <colorScale>
        <cfvo type="min"/>
        <cfvo type="max"/>
        <color rgb="FFFFEF9C"/>
        <color rgb="FF63BE7B"/>
      </colorScale>
    </cfRule>
  </conditionalFormatting>
  <conditionalFormatting sqref="M54:M67">
    <cfRule type="colorScale" priority="23">
      <colorScale>
        <cfvo type="min"/>
        <cfvo type="max"/>
        <color rgb="FFFFEF9C"/>
        <color rgb="FF63BE7B"/>
      </colorScale>
    </cfRule>
  </conditionalFormatting>
  <conditionalFormatting sqref="AK16:AK31">
    <cfRule type="colorScale" priority="22">
      <colorScale>
        <cfvo type="min"/>
        <cfvo type="max"/>
        <color rgb="FFFFEF9C"/>
        <color rgb="FF63BE7B"/>
      </colorScale>
    </cfRule>
  </conditionalFormatting>
  <conditionalFormatting sqref="AL16:AL31">
    <cfRule type="colorScale" priority="21">
      <colorScale>
        <cfvo type="min"/>
        <cfvo type="max"/>
        <color rgb="FF63BE7B"/>
        <color rgb="FFFFEF9C"/>
      </colorScale>
    </cfRule>
  </conditionalFormatting>
  <conditionalFormatting sqref="AK32:AK42">
    <cfRule type="colorScale" priority="20">
      <colorScale>
        <cfvo type="min"/>
        <cfvo type="max"/>
        <color rgb="FFFFEF9C"/>
        <color rgb="FF63BE7B"/>
      </colorScale>
    </cfRule>
  </conditionalFormatting>
  <conditionalFormatting sqref="AL32:AL42">
    <cfRule type="colorScale" priority="19">
      <colorScale>
        <cfvo type="min"/>
        <cfvo type="max"/>
        <color rgb="FFFFEF9C"/>
        <color rgb="FF63BE7B"/>
      </colorScale>
    </cfRule>
  </conditionalFormatting>
  <conditionalFormatting sqref="AL43:AL53">
    <cfRule type="colorScale" priority="18">
      <colorScale>
        <cfvo type="min"/>
        <cfvo type="max"/>
        <color rgb="FF63BE7B"/>
        <color rgb="FFFFEF9C"/>
      </colorScale>
    </cfRule>
  </conditionalFormatting>
  <conditionalFormatting sqref="AL54:AL67">
    <cfRule type="colorScale" priority="17">
      <colorScale>
        <cfvo type="min"/>
        <cfvo type="max"/>
        <color rgb="FF63BE7B"/>
        <color rgb="FFFFEF9C"/>
      </colorScale>
    </cfRule>
  </conditionalFormatting>
  <conditionalFormatting sqref="AM54:AM67">
    <cfRule type="colorScale" priority="16">
      <colorScale>
        <cfvo type="min"/>
        <cfvo type="max"/>
        <color rgb="FFFFEF9C"/>
        <color rgb="FF63BE7B"/>
      </colorScale>
    </cfRule>
  </conditionalFormatting>
  <conditionalFormatting sqref="AP16:AP31">
    <cfRule type="colorScale" priority="15">
      <colorScale>
        <cfvo type="min"/>
        <cfvo type="max"/>
        <color rgb="FF63BE7B"/>
        <color rgb="FFFFEF9C"/>
      </colorScale>
    </cfRule>
  </conditionalFormatting>
  <conditionalFormatting sqref="AP32:AP42">
    <cfRule type="colorScale" priority="14">
      <colorScale>
        <cfvo type="min"/>
        <cfvo type="max"/>
        <color rgb="FF63BE7B"/>
        <color rgb="FFFFEF9C"/>
      </colorScale>
    </cfRule>
  </conditionalFormatting>
  <conditionalFormatting sqref="AP54:AP67">
    <cfRule type="colorScale" priority="13">
      <colorScale>
        <cfvo type="min"/>
        <cfvo type="max"/>
        <color rgb="FF63BE7B"/>
        <color rgb="FFFFEF9C"/>
      </colorScale>
    </cfRule>
  </conditionalFormatting>
  <conditionalFormatting sqref="AT54:AT67">
    <cfRule type="colorScale" priority="12">
      <colorScale>
        <cfvo type="min"/>
        <cfvo type="max"/>
        <color rgb="FFFFEF9C"/>
        <color rgb="FF63BE7B"/>
      </colorScale>
    </cfRule>
  </conditionalFormatting>
  <conditionalFormatting sqref="AI3:AI6">
    <cfRule type="colorScale" priority="11">
      <colorScale>
        <cfvo type="min"/>
        <cfvo type="max"/>
        <color rgb="FFFFEF9C"/>
        <color rgb="FF63BE7B"/>
      </colorScale>
    </cfRule>
  </conditionalFormatting>
  <conditionalFormatting sqref="O3:O6">
    <cfRule type="colorScale" priority="10">
      <colorScale>
        <cfvo type="min"/>
        <cfvo type="max"/>
        <color rgb="FF63BE7B"/>
        <color rgb="FFFFEF9C"/>
      </colorScale>
    </cfRule>
  </conditionalFormatting>
  <conditionalFormatting sqref="Q3:Q6">
    <cfRule type="colorScale" priority="9">
      <colorScale>
        <cfvo type="min"/>
        <cfvo type="max"/>
        <color rgb="FF63BE7B"/>
        <color rgb="FFFFEF9C"/>
      </colorScale>
    </cfRule>
  </conditionalFormatting>
  <conditionalFormatting sqref="R3:R6">
    <cfRule type="colorScale" priority="8">
      <colorScale>
        <cfvo type="min"/>
        <cfvo type="max"/>
        <color rgb="FF63BE7B"/>
        <color rgb="FFFFEF9C"/>
      </colorScale>
    </cfRule>
  </conditionalFormatting>
  <conditionalFormatting sqref="I8:I14">
    <cfRule type="colorScale" priority="7">
      <colorScale>
        <cfvo type="min"/>
        <cfvo type="max"/>
        <color rgb="FFFFEF9C"/>
        <color rgb="FF63BE7B"/>
      </colorScale>
    </cfRule>
  </conditionalFormatting>
  <conditionalFormatting sqref="J8:J14">
    <cfRule type="colorScale" priority="6">
      <colorScale>
        <cfvo type="min"/>
        <cfvo type="max"/>
        <color rgb="FFFFEF9C"/>
        <color rgb="FF63BE7B"/>
      </colorScale>
    </cfRule>
  </conditionalFormatting>
  <conditionalFormatting sqref="H8:H14">
    <cfRule type="colorScale" priority="5">
      <colorScale>
        <cfvo type="min"/>
        <cfvo type="max"/>
        <color rgb="FFFFEF9C"/>
        <color rgb="FF63BE7B"/>
      </colorScale>
    </cfRule>
  </conditionalFormatting>
  <conditionalFormatting sqref="O8:O14">
    <cfRule type="colorScale" priority="4">
      <colorScale>
        <cfvo type="min"/>
        <cfvo type="max"/>
        <color rgb="FF63BE7B"/>
        <color rgb="FFFFEF9C"/>
      </colorScale>
    </cfRule>
  </conditionalFormatting>
  <conditionalFormatting sqref="Q8:Q14">
    <cfRule type="colorScale" priority="3">
      <colorScale>
        <cfvo type="min"/>
        <cfvo type="max"/>
        <color rgb="FF63BE7B"/>
        <color rgb="FFFFEF9C"/>
      </colorScale>
    </cfRule>
  </conditionalFormatting>
  <conditionalFormatting sqref="R8:R14">
    <cfRule type="colorScale" priority="2">
      <colorScale>
        <cfvo type="min"/>
        <cfvo type="max"/>
        <color rgb="FF63BE7B"/>
        <color rgb="FFFFEF9C"/>
      </colorScale>
    </cfRule>
  </conditionalFormatting>
  <conditionalFormatting sqref="AI8:AI14">
    <cfRule type="colorScale" priority="1">
      <colorScale>
        <cfvo type="min"/>
        <cfvo type="max"/>
        <color rgb="FFFFEF9C"/>
        <color rgb="FF63BE7B"/>
      </colorScale>
    </cfRule>
  </conditionalFormatting>
  <hyperlinks>
    <hyperlink ref="A1" r:id="rId1" xr:uid="{8B4BD0CF-D26E-483C-A70E-EF6608047D34}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5" name="Button 1">
              <controlPr defaultSize="0" print="0" autoFill="0" autoPict="0" macro="[0]!WebData">
                <anchor moveWithCells="1" siz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8" operator="containsText" id="{565A3035-27BC-449F-BA55-01413F8C67AB}">
            <xm:f>NOT(ISERROR(SEARCH($C$6,C1)))</xm:f>
            <xm:f>$C$6</xm:f>
            <x14:dxf>
              <fill>
                <patternFill>
                  <bgColor theme="4" tint="0.79998168889431442"/>
                </patternFill>
              </fill>
              <border>
                <left style="thin">
                  <color theme="8"/>
                </left>
                <right style="thin">
                  <color theme="8"/>
                </right>
                <top style="thin">
                  <color theme="8"/>
                </top>
                <bottom style="thin">
                  <color theme="8"/>
                </bottom>
                <vertical/>
                <horizontal/>
              </border>
            </x14:dxf>
          </x14:cfRule>
          <x14:cfRule type="containsText" priority="49" operator="containsText" id="{E3AD02EA-70BC-4A3D-B468-80587EDDC27B}">
            <xm:f>NOT(ISERROR(SEARCH($C$5,C1)))</xm:f>
            <xm:f>$C$5</xm:f>
            <x14:dxf>
              <fill>
                <patternFill>
                  <bgColor rgb="FFE1A3DE"/>
                </patternFill>
              </fill>
              <border>
                <left style="thin">
                  <color rgb="FF7030A0"/>
                </left>
                <right style="thin">
                  <color rgb="FF7030A0"/>
                </right>
                <top style="thin">
                  <color rgb="FF7030A0"/>
                </top>
                <bottom style="thin">
                  <color rgb="FF7030A0"/>
                </bottom>
                <vertical/>
                <horizontal/>
              </border>
            </x14:dxf>
          </x14:cfRule>
          <x14:cfRule type="containsText" priority="50" operator="containsText" id="{2358D3AA-986B-4DF0-846F-AEF7A4C819D7}">
            <xm:f>NOT(ISERROR(SEARCH($C$4,C1)))</xm:f>
            <xm:f>$C$4</xm:f>
            <x14:dxf>
              <fill>
                <patternFill>
                  <bgColor theme="9" tint="0.59996337778862885"/>
                </patternFill>
              </fill>
              <border>
                <left style="thin">
                  <color theme="9"/>
                </left>
                <right style="thin">
                  <color theme="9"/>
                </right>
                <top style="thin">
                  <color theme="9"/>
                </top>
                <bottom style="thin">
                  <color theme="9"/>
                </bottom>
                <vertical/>
                <horizontal/>
              </border>
            </x14:dxf>
          </x14:cfRule>
          <x14:cfRule type="containsText" priority="51" operator="containsText" id="{F1A41BA3-09C2-4C30-9913-FE84B62B1B3C}">
            <xm:f>NOT(ISERROR(SEARCH($C$3,C1)))</xm:f>
            <xm:f>$C$3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5"/>
                </left>
                <right style="thin">
                  <color theme="5"/>
                </right>
                <top style="thin">
                  <color theme="5"/>
                </top>
                <bottom style="thin">
                  <color theme="5"/>
                </bottom>
                <vertical/>
                <horizontal/>
              </border>
            </x14:dxf>
          </x14:cfRule>
          <xm:sqref>C1:C1048576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F927D-AD05-4026-95B2-F084EC52DEAA}">
  <sheetPr codeName="Sheet11"/>
  <dimension ref="A1:AT64"/>
  <sheetViews>
    <sheetView zoomScale="85" zoomScaleNormal="85" workbookViewId="0">
      <pane ySplit="15" topLeftCell="A16" activePane="bottomLeft" state="frozen"/>
      <selection pane="bottomLeft" activeCell="L27" sqref="L27"/>
    </sheetView>
  </sheetViews>
  <sheetFormatPr defaultColWidth="9.140625" defaultRowHeight="15" x14ac:dyDescent="0.25"/>
  <cols>
    <col min="1" max="1" width="10" style="6" bestFit="1" customWidth="1"/>
    <col min="2" max="2" width="11.140625" style="4" bestFit="1" customWidth="1"/>
    <col min="3" max="3" width="10.7109375" style="22" customWidth="1"/>
    <col min="4" max="4" width="15.85546875" style="13" hidden="1" customWidth="1"/>
    <col min="5" max="6" width="10.7109375" style="4" hidden="1" customWidth="1"/>
    <col min="7" max="7" width="2.140625" style="6" customWidth="1"/>
    <col min="8" max="8" width="7.7109375" style="5" customWidth="1"/>
    <col min="9" max="9" width="7.85546875" style="8" customWidth="1"/>
    <col min="10" max="10" width="7.7109375" style="6" customWidth="1"/>
    <col min="11" max="13" width="10.7109375" style="6" customWidth="1"/>
    <col min="14" max="14" width="1.42578125" style="6" customWidth="1"/>
    <col min="15" max="15" width="10.85546875" style="5" customWidth="1"/>
    <col min="16" max="16" width="8.85546875" style="5" hidden="1" customWidth="1"/>
    <col min="17" max="17" width="10.140625" style="5" customWidth="1"/>
    <col min="18" max="18" width="12.7109375" style="6" customWidth="1"/>
    <col min="19" max="19" width="1.42578125" style="6" customWidth="1"/>
    <col min="20" max="20" width="15.7109375" style="5" hidden="1" customWidth="1"/>
    <col min="21" max="34" width="15.7109375" style="32" hidden="1" customWidth="1"/>
    <col min="35" max="35" width="9.28515625" style="11" customWidth="1"/>
    <col min="36" max="36" width="1.42578125" style="6" customWidth="1"/>
    <col min="37" max="39" width="5.7109375" style="6" customWidth="1"/>
    <col min="40" max="41" width="8.7109375" style="8" customWidth="1"/>
    <col min="42" max="42" width="9.7109375" style="6" customWidth="1"/>
    <col min="43" max="43" width="7.85546875" style="6" customWidth="1"/>
    <col min="44" max="44" width="9.7109375" style="6" customWidth="1"/>
    <col min="45" max="45" width="1.42578125" style="6" customWidth="1"/>
    <col min="46" max="46" width="10.7109375" style="4" customWidth="1"/>
    <col min="47" max="16384" width="9.140625" style="4"/>
  </cols>
  <sheetData>
    <row r="1" spans="1:46" s="15" customFormat="1" ht="15" customHeight="1" x14ac:dyDescent="0.25">
      <c r="A1" s="51" t="s">
        <v>136</v>
      </c>
      <c r="B1" s="15" t="s">
        <v>60</v>
      </c>
      <c r="C1" s="20" t="s">
        <v>88</v>
      </c>
      <c r="D1" s="16" t="s">
        <v>79</v>
      </c>
      <c r="E1" s="15" t="s">
        <v>56</v>
      </c>
      <c r="F1" s="15" t="s">
        <v>80</v>
      </c>
      <c r="G1" s="18"/>
      <c r="H1" s="15" t="s">
        <v>59</v>
      </c>
      <c r="I1" s="16" t="s">
        <v>61</v>
      </c>
      <c r="J1" s="14" t="s">
        <v>46</v>
      </c>
      <c r="K1" s="14" t="s">
        <v>84</v>
      </c>
      <c r="L1" s="14" t="s">
        <v>83</v>
      </c>
      <c r="M1" s="14" t="s">
        <v>71</v>
      </c>
      <c r="N1" s="18"/>
      <c r="O1" s="14" t="s">
        <v>57</v>
      </c>
      <c r="P1" s="14" t="s">
        <v>86</v>
      </c>
      <c r="Q1" s="14" t="s">
        <v>58</v>
      </c>
      <c r="R1" s="14" t="s">
        <v>70</v>
      </c>
      <c r="S1" s="14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 t="s">
        <v>101</v>
      </c>
      <c r="AI1" s="17" t="s">
        <v>73</v>
      </c>
      <c r="AJ1" s="18"/>
      <c r="AK1" s="14" t="s">
        <v>74</v>
      </c>
      <c r="AL1" s="14" t="s">
        <v>75</v>
      </c>
      <c r="AM1" s="14" t="s">
        <v>76</v>
      </c>
      <c r="AN1" s="16" t="s">
        <v>81</v>
      </c>
      <c r="AO1" s="16" t="s">
        <v>82</v>
      </c>
      <c r="AP1" s="14" t="s">
        <v>103</v>
      </c>
      <c r="AQ1" s="14" t="s">
        <v>85</v>
      </c>
      <c r="AR1" s="14" t="s">
        <v>104</v>
      </c>
      <c r="AS1" s="18"/>
      <c r="AT1" s="15" t="s">
        <v>102</v>
      </c>
    </row>
    <row r="2" spans="1:46" s="31" customFormat="1" x14ac:dyDescent="0.25">
      <c r="A2" s="52"/>
      <c r="B2" s="26">
        <f>J2*(LOG(H2))*I2</f>
        <v>4.6180802918880568</v>
      </c>
      <c r="C2" s="27" t="s">
        <v>78</v>
      </c>
      <c r="D2" s="28">
        <f>AVERAGE(D3:D6)</f>
        <v>0.7</v>
      </c>
      <c r="E2" s="26">
        <f>AVERAGE(E3:E6)</f>
        <v>3</v>
      </c>
      <c r="F2" s="29">
        <f>AVERAGE(F3:F6)</f>
        <v>10</v>
      </c>
      <c r="G2" s="26"/>
      <c r="H2" s="29">
        <f>SUM(H16:H64)</f>
        <v>600</v>
      </c>
      <c r="I2" s="28">
        <f>SUM(AF16:AF64)/(SUM(AF16:AF64)+SUM(AG16:AG64))</f>
        <v>0.56999999999999995</v>
      </c>
      <c r="J2" s="26">
        <f>(SUM(V16:V64)+SUM(X16:X64)/2)/SUM(W16:W64)</f>
        <v>2.9162901939941537</v>
      </c>
      <c r="K2" s="26">
        <f>SUM(Y16:Y64)/SUM(AH16:AH64)</f>
        <v>6298.9146341463411</v>
      </c>
      <c r="L2" s="26">
        <f>SUM(AC16:AC64)/SUM(AH16:AH64)</f>
        <v>1460.1443089430895</v>
      </c>
      <c r="M2" s="26">
        <f>SUM(U16:U64)/SUM(AH16:AH64)</f>
        <v>315.89681050656662</v>
      </c>
      <c r="N2" s="26"/>
      <c r="O2" s="29">
        <f>((D2-1)*SUM(AF16:AF64)+D2*SUM(AG16:AG64))/(1-D3)</f>
        <v>259.99999999999989</v>
      </c>
      <c r="P2" s="29"/>
      <c r="Q2" s="29">
        <f>E2*SUM(W16:W64)-SUM(V16:V64)-SUM(X16:X64)/2</f>
        <v>315</v>
      </c>
      <c r="R2" s="26">
        <f>IF(AND(O2&gt;0,Q2&gt;0),Q2/O2,(IF(AND(O2&lt;=0,Q2&gt;0),Q2,0)))</f>
        <v>1.2115384615384621</v>
      </c>
      <c r="S2" s="26"/>
      <c r="T2" s="30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>
        <f>SUM(AH3:AH6)</f>
        <v>6396</v>
      </c>
      <c r="AI2" s="44">
        <f>IF(AH2&gt;0,AH2/1440," ")</f>
        <v>4.4416666666666664</v>
      </c>
      <c r="AJ2" s="26"/>
      <c r="AK2" s="26">
        <f>SUM(V16:V64)/SUM(AH16:AH64)</f>
        <v>1.1318011257035647</v>
      </c>
      <c r="AL2" s="26">
        <f>SUM(W16:W64)/SUM(AH16:AH64)</f>
        <v>0.58833646028767983</v>
      </c>
      <c r="AM2" s="26">
        <f>SUM(X16:X64)/SUM(AH16:AH64)</f>
        <v>1.1679174484052532</v>
      </c>
      <c r="AN2" s="28">
        <f>SUM(Z16:Z64)/SUM(Y16:Y64)</f>
        <v>0.77543973670677657</v>
      </c>
      <c r="AO2" s="28">
        <f>(SUM(Y16:Y64)-SUM(Z16:Z64))/SUM(Y16:Y64)</f>
        <v>0.22456026329322348</v>
      </c>
      <c r="AP2" s="26">
        <f>SUM(AA16:AA64)/SUM(AH16:AH64)</f>
        <v>4101.0877110694182</v>
      </c>
      <c r="AQ2" s="26">
        <f>SUM(AE16:AE64)/SUM(AH16:AH64)</f>
        <v>1.8073796122576611</v>
      </c>
      <c r="AR2" s="26">
        <f>SUM(AB16:AB64)/SUM(AH16:AH64)</f>
        <v>698.0859912445278</v>
      </c>
      <c r="AS2" s="26"/>
      <c r="AT2" s="31">
        <f>SUM(AT16:AT64)/SUM(AH16:AH64)</f>
        <v>13.799897342521769</v>
      </c>
    </row>
    <row r="3" spans="1:46" x14ac:dyDescent="0.25">
      <c r="A3" s="52"/>
      <c r="B3" s="6">
        <f>J3*(LOG(H3))*I3</f>
        <v>4.2121555956410859</v>
      </c>
      <c r="C3" s="21" t="s">
        <v>38</v>
      </c>
      <c r="D3" s="8">
        <v>0.7</v>
      </c>
      <c r="E3" s="6">
        <v>3</v>
      </c>
      <c r="F3" s="25">
        <v>10</v>
      </c>
      <c r="H3" s="25">
        <f>SUMIF($C$16:$C$64,C3,$H$16:$H$64)</f>
        <v>301</v>
      </c>
      <c r="I3" s="8">
        <f>SUMIF($C$16:$C$64,C3,$AF$16:$AF$64)/(SUMIF($C$16:$C$64,C3,$AF$16:$AF$64)+SUMIF($C$16:$C$64,C3,$AG$16:$AG$64))</f>
        <v>0.59136212624584716</v>
      </c>
      <c r="J3" s="6">
        <f>((SUMIF($C$16:$C$64,C3,$V$16:$V$64)+SUMIF($C$16:$C$64,C3,$X$16:$X$64)/2)/SUMIF($C$16:$C$64,C3,$W$16:$W$64))</f>
        <v>2.8737588652482269</v>
      </c>
      <c r="K3" s="40">
        <f>SUMIF($C$16:$C$64,C3,$Y$16:$Y$64)/SUMIF($C$16:$C$64,C3,$AH$16:$AH$64)</f>
        <v>7746.9648845302117</v>
      </c>
      <c r="L3" s="6">
        <f>SUMIF($C$16:$C$64,C3,$AC$16:$AC$64)/SUMIF($C$16:$C$64,C3,$AH$16:$AH$64)</f>
        <v>0.76368237899398927</v>
      </c>
      <c r="M3" s="6">
        <f>SUMIF($C$16:$C$64,C3,$U$16:$U$64)/SUMIF($C$16:$C$64,C3,$AH$16:$AH$64)</f>
        <v>324.2125909522303</v>
      </c>
      <c r="O3" s="10">
        <f>ROUNDUP(((D3-1)*SUMIF($C$16:$C$64,C3,$AF$16:$AF$64)+D2*SUMIF($C$16:$C$64,C3,$AG$16:$AG$64))/(1-D3),0)</f>
        <v>109</v>
      </c>
      <c r="Q3" s="10">
        <f>ROUNDUP(E3*SUMIF($C$16:$C$64,C3,$W$16:$W$64)-SUMIF($C$16:$C$64,C3,$V$16:$V$64)-SUMIF($C$16:$C$64,C3,$X$16:$X$64)/2,0)</f>
        <v>267</v>
      </c>
      <c r="R3" s="6">
        <f>IF(AND(O3&gt;0,Q3&gt;0),Q3/O3,(IF(AND(O3&lt;=0,Q3&gt;0),Q3,0)))</f>
        <v>2.4495412844036699</v>
      </c>
      <c r="AH3" s="32">
        <f>SUMIF($C$16:$C$64,C3,$AH$16:$AH$64)</f>
        <v>3161</v>
      </c>
      <c r="AI3" s="39">
        <f>IF(AH3&gt;0,AH3/1440," ")</f>
        <v>2.1951388888888888</v>
      </c>
      <c r="AK3" s="6">
        <f>SUMIF($C$16:$C$64,C3,$V$16:$V$64)/SUMIF($C$16:$C$64,C3,$AH$16:$AH$64)</f>
        <v>1.4226510597912052</v>
      </c>
      <c r="AL3" s="6">
        <f>SUMIF($C$16:$C$64,C3,$W$16:$W$64)/SUMIF($C$16:$C$64,C3,$AH$16:$AH$64)</f>
        <v>0.66909205947484973</v>
      </c>
      <c r="AM3" s="6">
        <f>SUMIF($C$16:$C$64,C3,$X$16:$X$64)/SUMIF($C$16:$C$64,C3,$AH$16:$AH$64)</f>
        <v>1.000316355583676</v>
      </c>
      <c r="AN3" s="8">
        <f>SUMIF($C$16:$C$64,C3,$Z$16:$Z$64)/SUMIF($C$16:$C$64,C3,$Y16:$Y$64)</f>
        <v>0.74209238131282729</v>
      </c>
      <c r="AO3" s="8">
        <f>(SUMIF($C$16:$C$64,C3,$Y16:$Y$64)-SUMIF($C$16:$C$64,C3,$Z16:$Z$64))/SUMIF($C$16:$C$64,C3,$Y16:$Y$64)</f>
        <v>0.25790761868717271</v>
      </c>
      <c r="AP3" s="6">
        <f>SUMIF($C$16:$C$64,C3,$AA16:$AA$64)/SUMIF($C$16:$C$64,C3,$AH16:$AH$64)</f>
        <v>3418.227459664663</v>
      </c>
      <c r="AQ3" s="6">
        <f>SUMIF($C$16:$C$64,C3,$AE16:$AE$64)/SUMIF($C$16:$C$64,C3,$AH16:$AH$64)</f>
        <v>0.33312242961088262</v>
      </c>
      <c r="AR3" s="6">
        <f>SUMIF($C$16:$C$64,C3,$AB16:$AB$64)/SUMIF($C$16:$C$64,C3,$AH16:$AH$64)</f>
        <v>17.368237899398924</v>
      </c>
      <c r="AT3" s="40">
        <f>(SUMIF($C$16:$C$64,C3,$AC16:$AC$64)+SUMIF($C$16:$C$64,C3,$AD16:$AD$64))/SUMIF($C$16:$C$64,C3,$AH16:$AH$64)</f>
        <v>88.326795317937368</v>
      </c>
    </row>
    <row r="4" spans="1:46" x14ac:dyDescent="0.25">
      <c r="A4" s="52"/>
      <c r="B4" s="6">
        <f>J4*(LOG(H4))*I4</f>
        <v>2.9013611098645073</v>
      </c>
      <c r="C4" s="21" t="s">
        <v>40</v>
      </c>
      <c r="D4" s="8">
        <v>0.7</v>
      </c>
      <c r="E4" s="6">
        <v>3</v>
      </c>
      <c r="F4" s="25">
        <v>10</v>
      </c>
      <c r="H4" s="25">
        <f>SUMIF($C$16:$C$64,C4,$H$16:$H$64)</f>
        <v>127</v>
      </c>
      <c r="I4" s="8">
        <f>SUMIF($C$16:$C$64,C4,$AF$16:$AF$64)/(SUMIF($C$16:$C$64,C4,$AF$16:$AF$64)+SUMIF($C$16:$C$64,C4,$AG$16:$AG$64))</f>
        <v>0.46456692913385828</v>
      </c>
      <c r="J4" s="6">
        <f>((SUMIF($C$16:$C$64,C4,$V$16:$V$64)+SUMIF($C$16:$C$64,C4,$X$16:$X$64)/2)/SUMIF($C$16:$C$64,C4,$W$16:$W$64))</f>
        <v>2.9685767097966727</v>
      </c>
      <c r="K4" s="40">
        <f>SUMIF($C$16:$C$64,C4,$Y$16:$Y$64)/SUMIF($C$16:$C$64,C4,$AH$16:$AH$64)</f>
        <v>3238.9766252739228</v>
      </c>
      <c r="L4" s="6">
        <f>SUMIF($C$16:$C$64,C4,$AC$16:$AC$64)/SUMIF($C$16:$C$64,C4,$AH$16:$AH$64)</f>
        <v>6694.774287801315</v>
      </c>
      <c r="M4" s="6">
        <f>SUMIF($C$16:$C$64,C4,$U$16:$U$64)/SUMIF($C$16:$C$64,C4,$AH$16:$AH$64)</f>
        <v>297.00073046018991</v>
      </c>
      <c r="O4" s="10">
        <f>ROUNDUP(((D4-1)*SUMIF($C$16:$C$64,C4,$AF$16:$AF$64)+D3*SUMIF($C$16:$C$64,C4,$AG$16:$AG$64))/(1-D4),0)</f>
        <v>100</v>
      </c>
      <c r="Q4" s="10">
        <f t="shared" ref="Q4:Q6" si="0">ROUNDUP(E4*SUMIF($C$16:$C$64,C4,$W$16:$W$64)-SUMIF($C$16:$C$64,C4,$V$16:$V$64)-SUMIF($C$16:$C$64,C4,$X$16:$X$64)/2,0)</f>
        <v>17</v>
      </c>
      <c r="R4" s="6">
        <f t="shared" ref="R4:R6" si="1">IF(AND(O4&gt;0,Q4&gt;0),Q4/O4,(IF(AND(O4&lt;=0,Q4&gt;0),Q4,0)))</f>
        <v>0.17</v>
      </c>
      <c r="AH4" s="32">
        <f t="shared" ref="AH4:AH6" si="2">SUMIF($C$16:$C$64,C4,$AH$16:$AH$64)</f>
        <v>1369</v>
      </c>
      <c r="AI4" s="39">
        <f t="shared" ref="AI4:AI6" si="3">IF(AH4&gt;0,AH4/1440," ")</f>
        <v>0.9506944444444444</v>
      </c>
      <c r="AK4" s="6">
        <f t="shared" ref="AK4:AK6" si="4">SUMIF($C$16:$C$64,C4,$V$16:$V$64)/SUMIF($C$16:$C$64,C4,$AH$16:$AH$64)</f>
        <v>0.40102264426588752</v>
      </c>
      <c r="AL4" s="6">
        <f t="shared" ref="AL4:AL6" si="5">SUMIF($C$16:$C$64,C4,$W$16:$W$64)/SUMIF($C$16:$C$64,C4,$AH$16:$AH$64)</f>
        <v>0.3951789627465303</v>
      </c>
      <c r="AM4" s="6">
        <f t="shared" ref="AM4:AM6" si="6">SUMIF($C$16:$C$64,C4,$X$16:$X$64)/SUMIF($C$16:$C$64,C4,$AH$16:$AH$64)</f>
        <v>1.5441928414901387</v>
      </c>
      <c r="AN4" s="5">
        <f>SUMIF($C$16:$C$64,C4,$Z$16:$Z$64)/SUMIF($C$16:$C$64,C4,$Y16:$Y$64)</f>
        <v>0.73968028661128304</v>
      </c>
      <c r="AO4" s="8">
        <f ca="1">(SUMIF($C$16:$C$64,C4,$Y18:$Y$64)-SUMIF($C$16:$C$64,C4,$Z18:$Z$64))/SUMIF($C$16:$C$64,C4,$Y18:$Y$64)</f>
        <v>0.26877737814493485</v>
      </c>
      <c r="AP4" s="6">
        <f ca="1">SUMIF($C$16:$C$64,C4,$AA18:$AA$64)/SUMIF($C$16:$C$64,C4,$AH18:$AH$64)</f>
        <v>2877.1461675579321</v>
      </c>
      <c r="AQ4" s="6">
        <f ca="1">SUMIF($C$16:$C$64,C4,$AE18:$AE$64)/SUMIF($C$16:$C$64,C4,$AH18:$AH$64)</f>
        <v>3.5258467023172906</v>
      </c>
      <c r="AR4" s="6">
        <f ca="1">SUMIF($C$16:$C$64,C4,$AB18:$AB$64)/SUMIF($C$16:$C$64,C4,$AH18:$AH$64)</f>
        <v>4.3939393939393936</v>
      </c>
      <c r="AT4" s="40">
        <f ca="1">(SUMIF($C$16:$C$64,C4,$AC18:$AC$64)+SUMIF($C$16:$C$64,C4,$AD18:$AD$64))/SUMIF($C$16:$C$64,C4,$AH18:$AH$64)</f>
        <v>7736.1550802139036</v>
      </c>
    </row>
    <row r="5" spans="1:46" x14ac:dyDescent="0.25">
      <c r="A5" s="52"/>
      <c r="B5" s="6">
        <f>J5*(LOG(H5))*I5</f>
        <v>4.0884586608947844</v>
      </c>
      <c r="C5" s="21" t="s">
        <v>39</v>
      </c>
      <c r="D5" s="8">
        <v>0.7</v>
      </c>
      <c r="E5" s="6">
        <v>3</v>
      </c>
      <c r="F5" s="25">
        <v>10</v>
      </c>
      <c r="H5" s="25">
        <f>SUMIF($C$16:$C$64,C5,$H$16:$H$64)</f>
        <v>65</v>
      </c>
      <c r="I5" s="8">
        <f>SUMIF($C$16:$C$64,C5,$AF$16:$AF$64)/(SUMIF($C$16:$C$64,C5,$AF$16:$AF$64)+SUMIF($C$16:$C$64,C5,$AG$16:$AG$64))</f>
        <v>0.7384615384615385</v>
      </c>
      <c r="J5" s="6">
        <f>((SUMIF($C$16:$C$64,C5,$V$16:$V$64)+SUMIF($C$16:$C$64,C5,$X$16:$X$64)/2)/SUMIF($C$16:$C$64,C5,$W$16:$W$64))</f>
        <v>3.0538990825688073</v>
      </c>
      <c r="K5" s="40">
        <f>SUMIF($C$16:$C$64,C5,$Y$16:$Y$64)/SUMIF($C$16:$C$64,C5,$AH$16:$AH$64)</f>
        <v>7087.8424657534242</v>
      </c>
      <c r="L5" s="6">
        <f>SUMIF($C$16:$C$64,C5,$AC$16:$AC$64)/SUMIF($C$16:$C$64,C5,$AH$16:$AH$64)</f>
        <v>150.82534246575344</v>
      </c>
      <c r="M5" s="6">
        <f>SUMIF($C$16:$C$64,C5,$U$16:$U$64)/SUMIF($C$16:$C$64,C5,$AH$16:$AH$64)</f>
        <v>394.51883561643837</v>
      </c>
      <c r="O5" s="10">
        <f>ROUNDUP(((D5-1)*SUMIF($C$16:$C$64,C5,$AF$16:$AF$64)+D4*SUMIF($C$16:$C$64,C5,$AG$16:$AG$64))/(1-D5),0)</f>
        <v>-9</v>
      </c>
      <c r="Q5" s="10">
        <f t="shared" si="0"/>
        <v>-24</v>
      </c>
      <c r="R5" s="6">
        <f t="shared" si="1"/>
        <v>0</v>
      </c>
      <c r="AH5" s="32">
        <f t="shared" si="2"/>
        <v>584</v>
      </c>
      <c r="AI5" s="39">
        <f t="shared" si="3"/>
        <v>0.40555555555555556</v>
      </c>
      <c r="AK5" s="6">
        <f t="shared" si="4"/>
        <v>1.7363013698630136</v>
      </c>
      <c r="AL5" s="6">
        <f t="shared" si="5"/>
        <v>0.74657534246575341</v>
      </c>
      <c r="AM5" s="6">
        <f t="shared" si="6"/>
        <v>1.0873287671232876</v>
      </c>
      <c r="AN5" s="8">
        <f ca="1">SUMIF($C$16:$C$64,C5,$Z$16:$Z$64)/SUMIF($C$16:$C$64,C5,$Y19:$Y$64)</f>
        <v>0.57057028244633379</v>
      </c>
      <c r="AO5" s="8">
        <f ca="1">(SUMIF($C$16:$C$64,C5,$Y19:$Y$64)-SUMIF($C$16:$C$64,C5,$Z19:$Z$64))/SUMIF($C$16:$C$64,C5,$Y19:$Y$64)</f>
        <v>0.17225069254607722</v>
      </c>
      <c r="AP5" s="6">
        <f ca="1">SUMIF($C$16:$C$64,C5,$AA19:$AA$64)/SUMIF($C$16:$C$64,C5,$AH19:$AH$64)</f>
        <v>6476.7834843907349</v>
      </c>
      <c r="AQ5" s="6">
        <f ca="1">SUMIF($C$16:$C$64,C5,$AE19:$AE$64)/SUMIF($C$16:$C$64,C5,$AH19:$AH$64)</f>
        <v>2.5770392749244713</v>
      </c>
      <c r="AR5" s="6">
        <f ca="1">SUMIF($C$16:$C$64,C5,$AB19:$AB$64)/SUMIF($C$16:$C$64,C5,$AH19:$AH$64)</f>
        <v>2209.2094662638469</v>
      </c>
      <c r="AT5" s="40">
        <f ca="1">(SUMIF($C$16:$C$64,C5,$AC19:$AC$64)+SUMIF($C$16:$C$64,C5,$AD19:$AD$64))/SUMIF($C$16:$C$64,C5,$AH19:$AH$64)</f>
        <v>406.75025176233635</v>
      </c>
    </row>
    <row r="6" spans="1:46" x14ac:dyDescent="0.25">
      <c r="A6" s="52"/>
      <c r="B6" s="6">
        <f>J6*(LOG(H6))*I6</f>
        <v>3.1554137823307316</v>
      </c>
      <c r="C6" s="21" t="s">
        <v>37</v>
      </c>
      <c r="D6" s="8">
        <v>0.7</v>
      </c>
      <c r="E6" s="6">
        <v>3</v>
      </c>
      <c r="F6" s="25">
        <v>10</v>
      </c>
      <c r="H6" s="25">
        <f>SUMIF($C$16:$C$64,C6,$H$16:$H$64)</f>
        <v>107</v>
      </c>
      <c r="I6" s="8">
        <f>SUMIF($C$16:$C$64,C6,$AF$16:$AF$64)/(SUMIF($C$16:$C$64,C6,$AF$16:$AF$64)+SUMIF($C$16:$C$64,C6,$AG$16:$AG$64))</f>
        <v>0.53271028037383172</v>
      </c>
      <c r="J6" s="6">
        <f>((SUMIF($C$16:$C$64,C6,$V$16:$V$64)+SUMIF($C$16:$C$64,C6,$X$16:$X$64)/2)/SUMIF($C$16:$C$64,C6,$W$16:$W$64))</f>
        <v>2.9187779433681071</v>
      </c>
      <c r="K6" s="40">
        <f>SUMIF($C$16:$C$64,C6,$Y$16:$Y$64)/SUMIF($C$16:$C$64,C6,$AH$16:$AH$64)</f>
        <v>5636.6950078003119</v>
      </c>
      <c r="L6" s="6">
        <f>SUMIF($C$16:$C$64,C6,$AC$16:$AC$64)/SUMIF($C$16:$C$64,C6,$AH$16:$AH$64)</f>
        <v>65.086583463338528</v>
      </c>
      <c r="M6" s="6">
        <f>SUMIF($C$16:$C$64,C6,$U$16:$U$64)/SUMIF($C$16:$C$64,C6,$AH$16:$AH$64)</f>
        <v>279.75585023400936</v>
      </c>
      <c r="O6" s="10">
        <f>ROUNDUP(((D6-1)*SUMIF($C$16:$C$64,C6,$AF$16:$AF$64)+D5*SUMIF($C$16:$C$64,C6,$AG$16:$AG$64))/(1-D6),0)</f>
        <v>60</v>
      </c>
      <c r="Q6" s="10">
        <f t="shared" si="0"/>
        <v>55</v>
      </c>
      <c r="R6" s="6">
        <f t="shared" si="1"/>
        <v>0.91666666666666663</v>
      </c>
      <c r="AH6" s="32">
        <f t="shared" si="2"/>
        <v>1282</v>
      </c>
      <c r="AI6" s="39">
        <f t="shared" si="3"/>
        <v>0.89027777777777772</v>
      </c>
      <c r="AK6" s="6">
        <f t="shared" si="4"/>
        <v>0.91965678627145087</v>
      </c>
      <c r="AL6" s="6">
        <f t="shared" si="5"/>
        <v>0.52340093603744153</v>
      </c>
      <c r="AM6" s="6">
        <f t="shared" si="6"/>
        <v>1.2160686427457099</v>
      </c>
      <c r="AN6" s="8">
        <f ca="1">SUMIF($C$16:$C$64,C6,$Z$16:$Z$64)/SUMIF($C$16:$C$64,C6,$Y20:$Y$64)</f>
        <v>1.2054721981859722</v>
      </c>
      <c r="AO6" s="8">
        <f ca="1">(SUMIF($C$16:$C$64,C6,$Y20:$Y$64)-SUMIF($C$16:$C$64,C6,$Z20:$Z$64))/SUMIF($C$16:$C$64,C6,$Y20:$Y$64)</f>
        <v>0.16560688851260918</v>
      </c>
      <c r="AP6" s="6">
        <f ca="1">SUMIF($C$16:$C$64,C6,$AA20:$AA$64)/SUMIF($C$16:$C$64,C6,$AH20:$AH$64)</f>
        <v>5224.8520833333332</v>
      </c>
      <c r="AQ6" s="6">
        <f ca="1">SUMIF($C$16:$C$64,C6,$AE20:$AE$64)/SUMIF($C$16:$C$64,C6,$AH20:$AH$64)</f>
        <v>4.3041666666666663</v>
      </c>
      <c r="AR6" s="6">
        <f ca="1">SUMIF($C$16:$C$64,C6,$AB20:$AB$64)/SUMIF($C$16:$C$64,C6,$AH20:$AH$64)</f>
        <v>2306.3354166666668</v>
      </c>
      <c r="AT6" s="40">
        <f ca="1">(SUMIF($C$16:$C$64,C6,$AC20:$AC$64)+SUMIF($C$16:$C$64,C6,$AD20:$AD$64))/SUMIF($C$16:$C$64,C6,$AH20:$AH$64)</f>
        <v>3195.0593749999998</v>
      </c>
    </row>
    <row r="7" spans="1:46" ht="5.25" customHeight="1" thickBot="1" x14ac:dyDescent="0.3">
      <c r="A7" s="8"/>
      <c r="B7" s="6"/>
      <c r="C7" s="21"/>
      <c r="D7" s="8"/>
      <c r="E7" s="6"/>
      <c r="F7" s="25"/>
      <c r="H7" s="25"/>
      <c r="K7" s="40"/>
      <c r="AT7" s="40"/>
    </row>
    <row r="8" spans="1:46" s="8" customFormat="1" ht="16.5" thickTop="1" thickBot="1" x14ac:dyDescent="0.3">
      <c r="A8" s="53" t="s">
        <v>99</v>
      </c>
      <c r="B8" s="6">
        <f t="shared" ref="B8:B14" si="7">J8*(LOG(H8))*I8</f>
        <v>3.6052547854091377</v>
      </c>
      <c r="C8" s="22" t="s">
        <v>65</v>
      </c>
      <c r="D8" s="41">
        <v>0.7</v>
      </c>
      <c r="E8" s="42">
        <v>3</v>
      </c>
      <c r="F8" s="43">
        <v>20</v>
      </c>
      <c r="H8" s="25">
        <f>SUMIF($D$16:$D$64,"*"&amp;C8&amp;"*",$H$16:$H$64)</f>
        <v>314</v>
      </c>
      <c r="I8" s="8">
        <f>SUMIF($D$16:$D$64,"*"&amp;C8&amp;"*",$AF$16:$AF$64)/(SUMIF($D$16:$D$64,"*"&amp;C8&amp;"*",$AF$16:$AF$64)+SUMIF($D$16:$D$64,"*"&amp;C8&amp;"*",$AG$16:$AG$64))</f>
        <v>0.52229299363057324</v>
      </c>
      <c r="J8" s="6">
        <f>(SUMIF($D$16:$D$64,"*"&amp;C8&amp;"*",$V$16:$V$64)+SUMIF($D$16:$D$64,"*"&amp;C8&amp;"*",$X$16:$X$64)/2)/SUMIF($D$16:$D$64,"*"&amp;C8&amp;"*",$W$16:$W$64)</f>
        <v>2.7644927536231885</v>
      </c>
      <c r="K8" s="40">
        <f>SUMIF($D$16:$D$64,"*"&amp;C8&amp;"*",$Y$16:$Y$64)/SUMIF($D$16:$D$64,"*"&amp;C8&amp;"*",$AH$16:$AH$64)</f>
        <v>5483.4568228706157</v>
      </c>
      <c r="L8" s="6">
        <f>SUMIF($D$16:$D$64,"*"&amp;C8&amp;"*",$AC$16:$AC$64)/SUMIF($D$16:$D$64,"*"&amp;C8&amp;"*",$AH$16:$AH$64)</f>
        <v>2000.9681697612732</v>
      </c>
      <c r="M8" s="6">
        <f>SUMIF($D$16:$D$64,"*"&amp;C8&amp;"*",$U$16:$U$64)/SUMIF($D$16:$D$64,"*"&amp;C8&amp;"*",$AH$16:$AH$64)</f>
        <v>305.24078986147953</v>
      </c>
      <c r="O8" s="45">
        <f>((D8-1)*SUMIF($D$16:$D$64,"*"&amp;C8&amp;"*",$AF$16:$AF$64)+D8*SUMIF($D$16:$D$64,"*"&amp;C8&amp;"*",$AG$16:$AG$64))/(1-D8)</f>
        <v>185.99999999999994</v>
      </c>
      <c r="P8" s="25"/>
      <c r="Q8" s="45">
        <f>E8*SUMIF($D$16:$D$64,"*"&amp;C8&amp;"*",$W$16:$W$64)-SUMIF($D$16:$D$64,"*"&amp;C8&amp;"*",$V$16:$V$64)-SUMIF($D$16:$D$64,"*"&amp;C8&amp;"*",$X$16:$X$64)/2</f>
        <v>455</v>
      </c>
      <c r="R8" s="6">
        <f>IF(AND(O8&gt;0,Q8&gt;0),Q8/O8,(IF(AND(O8&lt;=0,Q8&gt;0),Q8,0)))</f>
        <v>2.4462365591397859</v>
      </c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>
        <f ca="1">SUMIF($D$16:$E$64,"*"&amp;C8&amp;"*",$AH$16:$AH$64)</f>
        <v>3395.3562500000003</v>
      </c>
      <c r="AI8" s="39">
        <f t="shared" ref="AI8:AI14" ca="1" si="8">IF(AH8&gt;0,AH8/1440," ")</f>
        <v>2.3578862847222224</v>
      </c>
      <c r="AK8" s="6">
        <f>SUMIF($D$16:$D$64,"*"&amp;C8&amp;"*",$V$16:$V$64)/SUMIF($D$16:$D$64,"*"&amp;C8&amp;"*",$AH$16:$AH$64)</f>
        <v>1.0053050397877985</v>
      </c>
      <c r="AL8" s="6">
        <f>SUMIF($D$16:$D$64,"*"&amp;C8&amp;"*",$W$16:$W$64)/SUMIF($D$16:$D$64,"*"&amp;C8&amp;"*",$AH$16:$AH$64)</f>
        <v>0.56940760389036249</v>
      </c>
      <c r="AM8" s="6">
        <f>SUMIF($D$16:$D$64,"*"&amp;C8&amp;"*",$X$16:$X$64)/SUMIF($D$16:$D$64,"*"&amp;C8&amp;"*",$AH$16:$AH$64)</f>
        <v>1.1376363100501032</v>
      </c>
      <c r="AN8" s="8">
        <f>SUMIF($D$16:$D$64,"*"&amp;C8&amp;"*",$Z$16:$Z$64)/SUMIF($D$16:$D$64,"*"&amp;C8&amp;"*",$Y$16:$Y$64)</f>
        <v>0.86146090410784115</v>
      </c>
      <c r="AO8" s="8">
        <f>(SUMIF($D$16:$D$64,"*"&amp;C8&amp;"*",$Y$16:$Y$64)-SUMIF($D$16:$D$64,"*"&amp;C8&amp;"*",$Z$16:$Z$64))/SUMIF($D$16:$D$64,"*"&amp;C8&amp;"*",$Y$16:$Y$64)</f>
        <v>0.13853909589215888</v>
      </c>
      <c r="AP8" s="6">
        <f>SUMIF($D$16:$D$64,"*"&amp;C8&amp;"*",$AA$16:$AA$64)/SUMIF($D$16:$D$64,"*"&amp;C8&amp;"*",$AH$16:$AH$64)</f>
        <v>4347.8844680223992</v>
      </c>
      <c r="AQ8" s="6">
        <f>SUMIF($D$16:$D$64,"*"&amp;C8&amp;"*",$AE$16:$AE$64)/SUMIF($D$16:$D$64,"*"&amp;C8&amp;"*",$AH$16:$AH$64)</f>
        <v>2.2484526967285587</v>
      </c>
      <c r="AR8" s="6">
        <f>SUMIF($D$16:$D$64,"*"&amp;C8&amp;"*",$AB$16:$AB$64)/SUMIF($D$16:$D$64,"*"&amp;C8&amp;"*",$AH$16:$AH$64)</f>
        <v>1092.0786914235191</v>
      </c>
      <c r="AS8" s="6"/>
      <c r="AT8" s="6">
        <f>(SUMIF($D$16:$D$64,"*"&amp;C8&amp;"*",$AC$16:$AC$64)+SUMIF($D$16:$D$64,"*"&amp;C8&amp;"*",$AD$16:$AD$64))/SUMIF($D$16:$D$64,"*"&amp;C8&amp;"*",$AH$16:$AH$64)</f>
        <v>2464.2676097848512</v>
      </c>
    </row>
    <row r="9" spans="1:46" s="8" customFormat="1" ht="16.5" thickTop="1" thickBot="1" x14ac:dyDescent="0.3">
      <c r="A9" s="53"/>
      <c r="B9" s="6">
        <f t="shared" si="7"/>
        <v>4.7587167097131093</v>
      </c>
      <c r="C9" s="22" t="s">
        <v>64</v>
      </c>
      <c r="D9" s="41">
        <v>0.7</v>
      </c>
      <c r="E9" s="42">
        <v>3</v>
      </c>
      <c r="F9" s="43">
        <v>20</v>
      </c>
      <c r="H9" s="25">
        <f t="shared" ref="H9:H14" si="9">SUMIF($D$16:$D$64,"*"&amp;C9&amp;"*",$H$16:$H$64)</f>
        <v>299</v>
      </c>
      <c r="I9" s="8">
        <f t="shared" ref="I9:I14" si="10">SUMIF($D$16:$D$64,"*"&amp;C9&amp;"*",$AF$16:$AF$64)/(SUMIF($D$16:$D$64,"*"&amp;C9&amp;"*",$AF$16:$AF$64)+SUMIF($D$16:$D$64,"*"&amp;C9&amp;"*",$AG$16:$AG$64))</f>
        <v>0.62541806020066892</v>
      </c>
      <c r="J9" s="6">
        <f t="shared" ref="J9:J14" si="11">(SUMIF($D$16:$D$64,"*"&amp;C9&amp;"*",$V$16:$V$64)+SUMIF($D$16:$D$64,"*"&amp;C9&amp;"*",$X$16:$X$64)/2)/SUMIF($D$16:$D$64,"*"&amp;C9&amp;"*",$W$16:$W$64)</f>
        <v>3.073452256033578</v>
      </c>
      <c r="K9" s="40">
        <f t="shared" ref="K9:K14" si="12">SUMIF($D$16:$D$64,"*"&amp;C9&amp;"*",$Y$16:$Y$64)/SUMIF($D$16:$D$64,"*"&amp;C9&amp;"*",$AH$16:$AH$64)</f>
        <v>7181.5897599999998</v>
      </c>
      <c r="L9" s="6">
        <f t="shared" ref="L9:L14" si="13">SUMIF($D$16:$D$64,"*"&amp;C9&amp;"*",$AC$16:$AC$64)/SUMIF($D$16:$D$64,"*"&amp;C9&amp;"*",$AH$16:$AH$64)</f>
        <v>815.16287999999997</v>
      </c>
      <c r="M9" s="6">
        <f t="shared" ref="M9:M14" si="14">SUMIF($D$16:$D$64,"*"&amp;C9&amp;"*",$U$16:$U$64)/SUMIF($D$16:$D$64,"*"&amp;C9&amp;"*",$AH$16:$AH$64)</f>
        <v>329.93920000000003</v>
      </c>
      <c r="O9" s="45">
        <f>((D9-1)*SUMIF($D$16:$D$64,"*"&amp;C9&amp;"*",$AF$16:$AF$64)+D9*SUMIF($D$16:$D$64,"*"&amp;C9&amp;"*",$AG$16:$AG$64))/(1-D9)</f>
        <v>74.333333333333272</v>
      </c>
      <c r="P9" s="25"/>
      <c r="Q9" s="45">
        <f t="shared" ref="Q9:Q14" si="15">E9*SUMIF($D$16:$D$64,"*"&amp;C9&amp;"*",$W$16:$W$64)-SUMIF($D$16:$D$64,"*"&amp;C9&amp;"*",$V$16:$V$64)-SUMIF($D$16:$D$64,"*"&amp;C9&amp;"*",$X$16:$X$64)/2</f>
        <v>-140</v>
      </c>
      <c r="R9" s="6">
        <f t="shared" ref="R9:R14" si="16">IF(AND(O9&gt;0,Q9&gt;0),Q9/O9,(IF(AND(O9&lt;=0,Q9&gt;0),Q9,0)))</f>
        <v>0</v>
      </c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>
        <f t="shared" ref="AH9:AH14" ca="1" si="17">SUMIF($D$16:$E$64,"*"&amp;C9&amp;"*",$AH$16:$AH$64)</f>
        <v>3127.1701388888891</v>
      </c>
      <c r="AI9" s="39">
        <f t="shared" ca="1" si="8"/>
        <v>2.171645929783951</v>
      </c>
      <c r="AK9" s="6">
        <f t="shared" ref="AK9:AK14" si="18">SUMIF($D$16:$D$64,"*"&amp;C9&amp;"*",$V$16:$V$64)/SUMIF($D$16:$D$64,"*"&amp;C9&amp;"*",$AH$16:$AH$64)</f>
        <v>1.2656000000000001</v>
      </c>
      <c r="AL9" s="6">
        <f t="shared" ref="AL9:AL14" si="19">SUMIF($D$16:$D$64,"*"&amp;C9&amp;"*",$W$16:$W$64)/SUMIF($D$16:$D$64,"*"&amp;C9&amp;"*",$AH$16:$AH$64)</f>
        <v>0.60992000000000002</v>
      </c>
      <c r="AM9" s="6">
        <f t="shared" ref="AM9:AM14" si="20">SUMIF($D$16:$D$64,"*"&amp;C9&amp;"*",$X$16:$X$64)/SUMIF($D$16:$D$64,"*"&amp;C9&amp;"*",$AH$16:$AH$64)</f>
        <v>1.2179199999999999</v>
      </c>
      <c r="AN9" s="8">
        <f t="shared" ref="AN9:AN14" si="21">SUMIF($D$16:$D$64,"*"&amp;C9&amp;"*",$Z$16:$Z$64)/SUMIF($D$16:$D$64,"*"&amp;C9&amp;"*",$Y$16:$Y$64)</f>
        <v>0.71133112454476932</v>
      </c>
      <c r="AO9" s="8">
        <f t="shared" ref="AO9:AO14" si="22">(SUMIF($D$16:$D$64,"*"&amp;C9&amp;"*",$Y$16:$Y$64)-SUMIF($D$16:$D$64,"*"&amp;C9&amp;"*",$Z$16:$Z$64))/SUMIF($D$16:$D$64,"*"&amp;C9&amp;"*",$Y$16:$Y$64)</f>
        <v>0.28866887545523068</v>
      </c>
      <c r="AP9" s="6">
        <f t="shared" ref="AP9:AP14" si="23">SUMIF($D$16:$D$64,"*"&amp;C9&amp;"*",$AA$16:$AA$64)/SUMIF($D$16:$D$64,"*"&amp;C9&amp;"*",$AH$16:$AH$64)</f>
        <v>3890.7145599999999</v>
      </c>
      <c r="AQ9" s="6">
        <f t="shared" ref="AQ9:AQ14" si="24">SUMIF($D$16:$D$64,"*"&amp;C9&amp;"*",$AE$16:$AE$64)/SUMIF($D$16:$D$64,"*"&amp;C9&amp;"*",$AH$16:$AH$64)</f>
        <v>1.7052799999999999</v>
      </c>
      <c r="AR9" s="6">
        <f t="shared" ref="AR9:AR14" si="25">SUMIF($D$16:$D$64,"*"&amp;C9&amp;"*",$AB$16:$AB$64)/SUMIF($D$16:$D$64,"*"&amp;C9&amp;"*",$AH$16:$AH$64)</f>
        <v>415.52064000000001</v>
      </c>
      <c r="AS9" s="6"/>
      <c r="AT9" s="6">
        <f t="shared" ref="AT9:AT14" si="26">(SUMIF($D$16:$D$64,"*"&amp;C9&amp;"*",$AC$16:$AC$64)+SUMIF($D$16:$D$64,"*"&amp;C9&amp;"*",$AD$16:$AD$64))/SUMIF($D$16:$D$64,"*"&amp;C9&amp;"*",$AH$16:$AH$64)</f>
        <v>1191.9248</v>
      </c>
    </row>
    <row r="10" spans="1:46" s="8" customFormat="1" ht="16.5" thickTop="1" thickBot="1" x14ac:dyDescent="0.3">
      <c r="A10" s="53"/>
      <c r="B10" s="6">
        <f t="shared" si="7"/>
        <v>4.394581662648779</v>
      </c>
      <c r="C10" s="22" t="s">
        <v>66</v>
      </c>
      <c r="D10" s="41">
        <v>0.7</v>
      </c>
      <c r="E10" s="42">
        <v>3</v>
      </c>
      <c r="F10" s="43">
        <v>20</v>
      </c>
      <c r="H10" s="25">
        <f t="shared" si="9"/>
        <v>110</v>
      </c>
      <c r="I10" s="8">
        <f t="shared" si="10"/>
        <v>0.62727272727272732</v>
      </c>
      <c r="J10" s="6">
        <f t="shared" si="11"/>
        <v>3.4318996415770608</v>
      </c>
      <c r="K10" s="40">
        <f t="shared" si="12"/>
        <v>4799.0197693574955</v>
      </c>
      <c r="L10" s="6">
        <f t="shared" si="13"/>
        <v>3362.7850082372324</v>
      </c>
      <c r="M10" s="6">
        <f t="shared" si="14"/>
        <v>299.42668863261946</v>
      </c>
      <c r="O10" s="45">
        <f t="shared" ref="O10:O14" si="27">((D10-1)*SUMIF($D$16:$D$64,"*"&amp;C10&amp;"*",$AF$16:$AF$64)+D10*SUMIF($D$16:$D$64,"*"&amp;C10&amp;"*",$AG$16:$AG$64))/(1-D10)</f>
        <v>26.66666666666665</v>
      </c>
      <c r="P10" s="25"/>
      <c r="Q10" s="45">
        <f t="shared" si="15"/>
        <v>-241</v>
      </c>
      <c r="R10" s="6">
        <f t="shared" si="16"/>
        <v>0</v>
      </c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>
        <f t="shared" ca="1" si="17"/>
        <v>1214</v>
      </c>
      <c r="AI10" s="39">
        <f t="shared" ca="1" si="8"/>
        <v>0.84305555555555556</v>
      </c>
      <c r="AK10" s="6">
        <f t="shared" si="18"/>
        <v>0.95387149917627678</v>
      </c>
      <c r="AL10" s="6">
        <f t="shared" si="19"/>
        <v>0.4596375617792422</v>
      </c>
      <c r="AM10" s="6">
        <f t="shared" si="20"/>
        <v>1.2471169686985173</v>
      </c>
      <c r="AN10" s="8">
        <f t="shared" si="21"/>
        <v>0.82093370934825038</v>
      </c>
      <c r="AO10" s="8">
        <f t="shared" si="22"/>
        <v>0.17906629065174964</v>
      </c>
      <c r="AP10" s="6">
        <f t="shared" si="23"/>
        <v>4677.3591433278416</v>
      </c>
      <c r="AQ10" s="6">
        <f t="shared" si="24"/>
        <v>2.4785831960461286</v>
      </c>
      <c r="AR10" s="6">
        <f t="shared" si="25"/>
        <v>924.7158154859967</v>
      </c>
      <c r="AS10" s="6"/>
      <c r="AT10" s="6">
        <f t="shared" si="26"/>
        <v>3960.5708401976935</v>
      </c>
    </row>
    <row r="11" spans="1:46" s="8" customFormat="1" ht="16.5" thickTop="1" thickBot="1" x14ac:dyDescent="0.3">
      <c r="A11" s="53"/>
      <c r="B11" s="6">
        <f t="shared" si="7"/>
        <v>2.7160621365435835</v>
      </c>
      <c r="C11" s="22" t="s">
        <v>62</v>
      </c>
      <c r="D11" s="41">
        <v>0.7</v>
      </c>
      <c r="E11" s="42">
        <v>3</v>
      </c>
      <c r="F11" s="43">
        <v>20</v>
      </c>
      <c r="H11" s="25">
        <f t="shared" si="9"/>
        <v>84</v>
      </c>
      <c r="I11" s="8">
        <f t="shared" si="10"/>
        <v>0.51190476190476186</v>
      </c>
      <c r="J11" s="6">
        <f t="shared" si="11"/>
        <v>2.7572898799313892</v>
      </c>
      <c r="K11" s="40">
        <f t="shared" si="12"/>
        <v>7569.0357568533973</v>
      </c>
      <c r="L11" s="6">
        <f t="shared" si="13"/>
        <v>0</v>
      </c>
      <c r="M11" s="6">
        <f t="shared" si="14"/>
        <v>339.28843861740165</v>
      </c>
      <c r="O11" s="45">
        <f t="shared" si="27"/>
        <v>52.66666666666665</v>
      </c>
      <c r="P11" s="25"/>
      <c r="Q11" s="45">
        <f t="shared" si="15"/>
        <v>141.5</v>
      </c>
      <c r="R11" s="6">
        <f t="shared" si="16"/>
        <v>2.6867088607594947</v>
      </c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>
        <f t="shared" ca="1" si="17"/>
        <v>839</v>
      </c>
      <c r="AI11" s="39">
        <f t="shared" ca="1" si="8"/>
        <v>0.58263888888888893</v>
      </c>
      <c r="AK11" s="6">
        <f t="shared" si="18"/>
        <v>1.4755661501787842</v>
      </c>
      <c r="AL11" s="6">
        <f t="shared" si="19"/>
        <v>0.69487485101311086</v>
      </c>
      <c r="AM11" s="6">
        <f t="shared" si="20"/>
        <v>0.88081048867699641</v>
      </c>
      <c r="AN11" s="8">
        <f t="shared" si="21"/>
        <v>0.92614552641470538</v>
      </c>
      <c r="AO11" s="8">
        <f t="shared" si="22"/>
        <v>7.3854473585294581E-2</v>
      </c>
      <c r="AP11" s="6">
        <f t="shared" si="23"/>
        <v>3321.0023837902263</v>
      </c>
      <c r="AQ11" s="6">
        <f t="shared" si="24"/>
        <v>0.58045292014302741</v>
      </c>
      <c r="AR11" s="6">
        <f t="shared" si="25"/>
        <v>0</v>
      </c>
      <c r="AS11" s="6"/>
      <c r="AT11" s="6">
        <f t="shared" si="26"/>
        <v>90.713945172824793</v>
      </c>
    </row>
    <row r="12" spans="1:46" s="8" customFormat="1" ht="16.5" thickTop="1" thickBot="1" x14ac:dyDescent="0.3">
      <c r="A12" s="53"/>
      <c r="B12" s="6" t="e">
        <f t="shared" si="7"/>
        <v>#DIV/0!</v>
      </c>
      <c r="C12" s="22" t="s">
        <v>67</v>
      </c>
      <c r="D12" s="41">
        <v>0.7</v>
      </c>
      <c r="E12" s="42">
        <v>3</v>
      </c>
      <c r="F12" s="43">
        <v>20</v>
      </c>
      <c r="H12" s="25">
        <f t="shared" si="9"/>
        <v>0</v>
      </c>
      <c r="I12" s="8" t="e">
        <f t="shared" si="10"/>
        <v>#DIV/0!</v>
      </c>
      <c r="J12" s="6" t="e">
        <f t="shared" si="11"/>
        <v>#DIV/0!</v>
      </c>
      <c r="K12" s="40" t="e">
        <f t="shared" si="12"/>
        <v>#DIV/0!</v>
      </c>
      <c r="L12" s="6" t="e">
        <f t="shared" si="13"/>
        <v>#DIV/0!</v>
      </c>
      <c r="M12" s="6" t="e">
        <f t="shared" si="14"/>
        <v>#DIV/0!</v>
      </c>
      <c r="O12" s="45">
        <f t="shared" si="27"/>
        <v>0</v>
      </c>
      <c r="P12" s="25"/>
      <c r="Q12" s="45">
        <f t="shared" si="15"/>
        <v>0</v>
      </c>
      <c r="R12" s="6">
        <f t="shared" si="16"/>
        <v>0</v>
      </c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>
        <f t="shared" ca="1" si="17"/>
        <v>0</v>
      </c>
      <c r="AI12" s="39" t="str">
        <f t="shared" ca="1" si="8"/>
        <v xml:space="preserve"> </v>
      </c>
      <c r="AK12" s="6" t="e">
        <f t="shared" si="18"/>
        <v>#DIV/0!</v>
      </c>
      <c r="AL12" s="6" t="e">
        <f t="shared" si="19"/>
        <v>#DIV/0!</v>
      </c>
      <c r="AM12" s="6" t="e">
        <f t="shared" si="20"/>
        <v>#DIV/0!</v>
      </c>
      <c r="AN12" s="8" t="e">
        <f t="shared" si="21"/>
        <v>#DIV/0!</v>
      </c>
      <c r="AO12" s="8" t="e">
        <f t="shared" si="22"/>
        <v>#DIV/0!</v>
      </c>
      <c r="AP12" s="6" t="e">
        <f t="shared" si="23"/>
        <v>#DIV/0!</v>
      </c>
      <c r="AQ12" s="6" t="e">
        <f t="shared" si="24"/>
        <v>#DIV/0!</v>
      </c>
      <c r="AR12" s="6" t="e">
        <f t="shared" si="25"/>
        <v>#DIV/0!</v>
      </c>
      <c r="AS12" s="6"/>
      <c r="AT12" s="6" t="e">
        <f t="shared" si="26"/>
        <v>#DIV/0!</v>
      </c>
    </row>
    <row r="13" spans="1:46" s="8" customFormat="1" ht="16.5" thickTop="1" thickBot="1" x14ac:dyDescent="0.3">
      <c r="A13" s="53"/>
      <c r="B13" s="6">
        <f t="shared" si="7"/>
        <v>3.8970932769153799</v>
      </c>
      <c r="C13" s="22" t="s">
        <v>63</v>
      </c>
      <c r="D13" s="41">
        <v>0.7</v>
      </c>
      <c r="E13" s="42">
        <v>3</v>
      </c>
      <c r="F13" s="43">
        <v>20</v>
      </c>
      <c r="H13" s="25">
        <f t="shared" si="9"/>
        <v>184</v>
      </c>
      <c r="I13" s="8">
        <f t="shared" si="10"/>
        <v>0.58695652173913049</v>
      </c>
      <c r="J13" s="6">
        <f t="shared" si="11"/>
        <v>2.9315789473684211</v>
      </c>
      <c r="K13" s="40">
        <f t="shared" si="12"/>
        <v>6757.4085959885388</v>
      </c>
      <c r="L13" s="6">
        <f t="shared" si="13"/>
        <v>1240.2693409742121</v>
      </c>
      <c r="M13" s="6">
        <f t="shared" si="14"/>
        <v>364.39369627507165</v>
      </c>
      <c r="O13" s="45">
        <f t="shared" si="27"/>
        <v>69.333333333333286</v>
      </c>
      <c r="P13" s="25"/>
      <c r="Q13" s="45">
        <f t="shared" si="15"/>
        <v>78</v>
      </c>
      <c r="R13" s="6">
        <f t="shared" si="16"/>
        <v>1.1250000000000007</v>
      </c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>
        <f t="shared" ca="1" si="17"/>
        <v>1745</v>
      </c>
      <c r="AI13" s="39">
        <f t="shared" ca="1" si="8"/>
        <v>1.2118055555555556</v>
      </c>
      <c r="AK13" s="6">
        <f t="shared" si="18"/>
        <v>1.2916905444126074</v>
      </c>
      <c r="AL13" s="6">
        <f t="shared" si="19"/>
        <v>0.65329512893982811</v>
      </c>
      <c r="AM13" s="6">
        <f t="shared" si="20"/>
        <v>1.2469914040114614</v>
      </c>
      <c r="AN13" s="8">
        <f t="shared" si="21"/>
        <v>0.87647864875550363</v>
      </c>
      <c r="AO13" s="8">
        <f t="shared" si="22"/>
        <v>0.12352135124449633</v>
      </c>
      <c r="AP13" s="6">
        <f t="shared" si="23"/>
        <v>4045.7805157593125</v>
      </c>
      <c r="AQ13" s="6">
        <f t="shared" si="24"/>
        <v>2.3472779369627506</v>
      </c>
      <c r="AR13" s="6">
        <f t="shared" si="25"/>
        <v>547.68481375358169</v>
      </c>
      <c r="AS13" s="6"/>
      <c r="AT13" s="6">
        <f t="shared" si="26"/>
        <v>1765.7616045845273</v>
      </c>
    </row>
    <row r="14" spans="1:46" s="8" customFormat="1" ht="16.5" thickTop="1" thickBot="1" x14ac:dyDescent="0.3">
      <c r="A14" s="53"/>
      <c r="B14" s="6">
        <f t="shared" si="7"/>
        <v>3.8349199197474548</v>
      </c>
      <c r="C14" s="22" t="s">
        <v>91</v>
      </c>
      <c r="D14" s="41">
        <v>0.7</v>
      </c>
      <c r="E14" s="42">
        <v>3</v>
      </c>
      <c r="F14" s="43">
        <v>20</v>
      </c>
      <c r="H14" s="25">
        <f t="shared" si="9"/>
        <v>235</v>
      </c>
      <c r="I14" s="8">
        <f t="shared" si="10"/>
        <v>0.57021276595744685</v>
      </c>
      <c r="J14" s="6">
        <f t="shared" si="11"/>
        <v>2.8364516129032258</v>
      </c>
      <c r="K14" s="40">
        <f t="shared" si="12"/>
        <v>6286.8208900331001</v>
      </c>
      <c r="L14" s="6">
        <f t="shared" si="13"/>
        <v>1233.9341669731518</v>
      </c>
      <c r="M14" s="6">
        <f t="shared" si="14"/>
        <v>289.45972784111808</v>
      </c>
      <c r="O14" s="45">
        <f t="shared" si="27"/>
        <v>101.6666666666666</v>
      </c>
      <c r="P14" s="25"/>
      <c r="Q14" s="45">
        <f t="shared" si="15"/>
        <v>253.5</v>
      </c>
      <c r="R14" s="6">
        <f t="shared" si="16"/>
        <v>2.4934426229508211</v>
      </c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>
        <f t="shared" ca="1" si="17"/>
        <v>2719</v>
      </c>
      <c r="AI14" s="39">
        <f t="shared" ca="1" si="8"/>
        <v>1.8881944444444445</v>
      </c>
      <c r="AK14" s="6">
        <f t="shared" si="18"/>
        <v>1.0180213313718278</v>
      </c>
      <c r="AL14" s="6">
        <f t="shared" si="19"/>
        <v>0.57006252298639204</v>
      </c>
      <c r="AM14" s="6">
        <f t="shared" si="20"/>
        <v>1.1978668628172122</v>
      </c>
      <c r="AN14" s="8">
        <f t="shared" si="21"/>
        <v>0.64028248495688456</v>
      </c>
      <c r="AO14" s="8">
        <f t="shared" si="22"/>
        <v>0.35971751504311544</v>
      </c>
      <c r="AP14" s="6">
        <f t="shared" si="23"/>
        <v>4116.4369253401983</v>
      </c>
      <c r="AQ14" s="6">
        <f t="shared" si="24"/>
        <v>1.5685913938948142</v>
      </c>
      <c r="AR14" s="6">
        <f t="shared" si="25"/>
        <v>871.11364472232435</v>
      </c>
      <c r="AS14" s="6"/>
      <c r="AT14" s="6">
        <f t="shared" si="26"/>
        <v>1640.139021699154</v>
      </c>
    </row>
    <row r="15" spans="1:46" s="5" customFormat="1" ht="15.75" thickTop="1" x14ac:dyDescent="0.25">
      <c r="A15" s="2" t="s">
        <v>60</v>
      </c>
      <c r="B15" s="3" t="s">
        <v>77</v>
      </c>
      <c r="C15" s="23" t="s">
        <v>55</v>
      </c>
      <c r="D15" s="1" t="s">
        <v>87</v>
      </c>
      <c r="E15" s="3" t="s">
        <v>69</v>
      </c>
      <c r="F15" s="3" t="s">
        <v>68</v>
      </c>
      <c r="G15" s="18"/>
      <c r="H15" s="3" t="s">
        <v>59</v>
      </c>
      <c r="I15" s="1" t="s">
        <v>61</v>
      </c>
      <c r="J15" s="2" t="s">
        <v>46</v>
      </c>
      <c r="K15" s="2" t="s">
        <v>84</v>
      </c>
      <c r="L15" s="2" t="s">
        <v>83</v>
      </c>
      <c r="M15" s="2" t="s">
        <v>71</v>
      </c>
      <c r="N15" s="18"/>
      <c r="O15" s="3" t="s">
        <v>57</v>
      </c>
      <c r="P15" s="3" t="s">
        <v>86</v>
      </c>
      <c r="Q15" s="3" t="s">
        <v>58</v>
      </c>
      <c r="R15" s="2" t="s">
        <v>70</v>
      </c>
      <c r="S15" s="18"/>
      <c r="T15" s="19" t="s">
        <v>93</v>
      </c>
      <c r="U15" s="35" t="s">
        <v>72</v>
      </c>
      <c r="V15" s="35" t="s">
        <v>43</v>
      </c>
      <c r="W15" s="35" t="s">
        <v>44</v>
      </c>
      <c r="X15" s="35" t="s">
        <v>45</v>
      </c>
      <c r="Y15" s="35" t="s">
        <v>38</v>
      </c>
      <c r="Z15" s="35" t="s">
        <v>94</v>
      </c>
      <c r="AA15" s="35" t="s">
        <v>95</v>
      </c>
      <c r="AB15" s="35" t="s">
        <v>96</v>
      </c>
      <c r="AC15" s="35" t="s">
        <v>97</v>
      </c>
      <c r="AD15" s="35" t="s">
        <v>98</v>
      </c>
      <c r="AE15" s="35" t="s">
        <v>100</v>
      </c>
      <c r="AF15" s="35" t="s">
        <v>41</v>
      </c>
      <c r="AG15" s="35" t="s">
        <v>42</v>
      </c>
      <c r="AH15" s="36" t="s">
        <v>101</v>
      </c>
      <c r="AI15" s="38" t="s">
        <v>73</v>
      </c>
      <c r="AJ15" s="18"/>
      <c r="AK15" s="2" t="s">
        <v>74</v>
      </c>
      <c r="AL15" s="2" t="s">
        <v>75</v>
      </c>
      <c r="AM15" s="2" t="s">
        <v>76</v>
      </c>
      <c r="AN15" s="1" t="s">
        <v>81</v>
      </c>
      <c r="AO15" s="1" t="s">
        <v>82</v>
      </c>
      <c r="AP15" s="2" t="s">
        <v>103</v>
      </c>
      <c r="AQ15" s="2" t="s">
        <v>85</v>
      </c>
      <c r="AR15" s="2" t="s">
        <v>104</v>
      </c>
      <c r="AS15" s="18"/>
      <c r="AT15" s="2" t="s">
        <v>102</v>
      </c>
    </row>
    <row r="16" spans="1:46" ht="15" customHeight="1" x14ac:dyDescent="0.25">
      <c r="A16" s="6">
        <f t="shared" ref="A16:A47" si="28">IF(H16=" "," ",(((M16*LOG(H16)^10)/(LOG(H16)^10+9))*(((J16*I16*LOG(H16)^10)/(LOG(H16)^10+9))/(12.8))))</f>
        <v>56.94020126473275</v>
      </c>
      <c r="B16" s="7" t="s">
        <v>24</v>
      </c>
      <c r="C16" s="22" t="s">
        <v>38</v>
      </c>
      <c r="D16" s="13" t="str">
        <f>E16&amp;" "&amp;F16</f>
        <v>Projectile Arc</v>
      </c>
      <c r="E16" s="4" t="s">
        <v>65</v>
      </c>
      <c r="F16" s="4" t="s">
        <v>66</v>
      </c>
      <c r="H16" s="32">
        <f t="shared" ref="H16:H47" si="29">IF(ISBLANK(AF16)," ",AF16+AG16)</f>
        <v>30</v>
      </c>
      <c r="I16" s="8">
        <f t="shared" ref="I16:I47" si="30">IF(ISBLANK(AF16),"",AF16/(AF16+AG16))</f>
        <v>0.76666666666666672</v>
      </c>
      <c r="J16" s="9">
        <f t="shared" ref="J16:J47" si="31">IF(ISBLANK(V16)," ",(V16+X16/2)/W16)</f>
        <v>3.8888888888888888</v>
      </c>
      <c r="K16" s="40">
        <f t="shared" ref="K16:K47" si="32">IF(Y16&gt;0,Y16/AH16," ")</f>
        <v>7542.607260726073</v>
      </c>
      <c r="L16" s="40" t="str">
        <f t="shared" ref="L16:L47" si="33">IF(AC16&gt;0,(AC16)/AH16," ")</f>
        <v xml:space="preserve"> </v>
      </c>
      <c r="M16" s="40">
        <f t="shared" ref="M16:M47" si="34">IF(U16&gt;0,U16/AH16," ")</f>
        <v>341.53465346534654</v>
      </c>
      <c r="O16" s="10">
        <f t="shared" ref="O16:O47" si="35">IF(ISBLANK(AF16)," ",IF((P16+H16)&lt;=SUMIF($C$2:$C$6,C16,$F$2:$F$6),SUMIF($C$2:$C$6,C16,$F$2:$F$6)-H16,P16))</f>
        <v>-6</v>
      </c>
      <c r="P16" s="10">
        <f t="shared" ref="P16:P47" si="36">IF(ISBLANK(AF16)," ",_xlfn.CEILING.MATH(((SUMIF($C$2:$C$6,C16,$D$2:$D$6)-1)*AF16+SUMIF($C$2:$C$6,C16,$D$2:$D$6)*AG16)/(1-SUMIF($C$2:$C$6,C16,$D$2:$D$6))))</f>
        <v>-6</v>
      </c>
      <c r="Q16" s="10">
        <f t="shared" ref="Q16:Q47" si="37">IF(ISBLANK(V16)," ",_xlfn.CEILING.MATH(SUMIF($C$2:$C$6,C16,$E$2:$E$6)*W16-V16-X16/2))</f>
        <v>-160</v>
      </c>
      <c r="R16" s="9">
        <f t="shared" ref="R16:R47" si="38">IF(AND(O16&gt;0,Q16&gt;0),Q16/O16,(IF(AND(O16&lt;=0,Q16&gt;0),Q16,0)))</f>
        <v>0</v>
      </c>
      <c r="T16" s="5" t="s">
        <v>137</v>
      </c>
      <c r="U16" s="32">
        <v>103485</v>
      </c>
      <c r="V16" s="32">
        <v>570</v>
      </c>
      <c r="W16" s="32">
        <v>180</v>
      </c>
      <c r="X16" s="37">
        <v>260</v>
      </c>
      <c r="Y16" s="37">
        <v>2285410</v>
      </c>
      <c r="Z16" s="37">
        <v>1855442</v>
      </c>
      <c r="AA16" s="37">
        <v>1069733</v>
      </c>
      <c r="AB16" s="37">
        <v>0</v>
      </c>
      <c r="AC16" s="37">
        <v>0</v>
      </c>
      <c r="AD16" s="37">
        <v>9529</v>
      </c>
      <c r="AE16" s="37">
        <v>53</v>
      </c>
      <c r="AF16" s="32">
        <v>23</v>
      </c>
      <c r="AG16" s="32">
        <v>7</v>
      </c>
      <c r="AH16" s="37">
        <v>303</v>
      </c>
      <c r="AI16" s="39">
        <f t="shared" ref="AI16:AI47" si="39">IF(AH16&gt;0,AH16/1440," ")</f>
        <v>0.21041666666666667</v>
      </c>
      <c r="AK16" s="9">
        <f t="shared" ref="AK16:AK47" si="40">IF(V16&gt;0,V16/AH16," ")</f>
        <v>1.8811881188118811</v>
      </c>
      <c r="AL16" s="9">
        <f t="shared" ref="AL16:AL47" si="41">IF(W16&gt;0,W16/AH16," ")</f>
        <v>0.59405940594059403</v>
      </c>
      <c r="AM16" s="6">
        <f t="shared" ref="AM16:AM47" si="42">IF(X16&gt;0,X16/AH16," ")</f>
        <v>0.85808580858085803</v>
      </c>
      <c r="AN16" s="8">
        <f t="shared" ref="AN16:AN47" si="43">IF(Y16&gt;0,Z16/Y16," ")</f>
        <v>0.811863954388928</v>
      </c>
      <c r="AO16" s="8">
        <f t="shared" ref="AO16:AO47" si="44">IF(Y16&gt;0,(Y16-Z16)/Y16," ")</f>
        <v>0.18813604561107197</v>
      </c>
      <c r="AP16" s="40">
        <f t="shared" ref="AP16:AP47" si="45">IF(AA16&gt;0,AA16/AH16," ")</f>
        <v>3530.4719471947196</v>
      </c>
      <c r="AQ16" s="40">
        <f t="shared" ref="AQ16:AQ47" si="46">IF(AE16&gt;0,AE16/AH16," ")</f>
        <v>0.17491749174917492</v>
      </c>
      <c r="AR16" s="40" t="str">
        <f t="shared" ref="AR16:AR47" si="47">IF(AB16&gt;0,AB16/AH16," ")</f>
        <v xml:space="preserve"> </v>
      </c>
      <c r="AS16" s="40"/>
      <c r="AT16" s="40">
        <f t="shared" ref="AT16:AT47" si="48">IF(ISBLANK(AH16)," ",(AC16+AD16)/AH16)</f>
        <v>31.448844884488448</v>
      </c>
    </row>
    <row r="17" spans="1:46" ht="15" customHeight="1" x14ac:dyDescent="0.25">
      <c r="A17" s="6">
        <f t="shared" si="28"/>
        <v>5.5847078156302712E-4</v>
      </c>
      <c r="B17" s="7" t="s">
        <v>32</v>
      </c>
      <c r="C17" s="22" t="s">
        <v>38</v>
      </c>
      <c r="D17" s="13" t="str">
        <f>E17&amp;" "&amp;F17</f>
        <v>Projectile Arc</v>
      </c>
      <c r="E17" s="4" t="s">
        <v>65</v>
      </c>
      <c r="F17" s="4" t="s">
        <v>66</v>
      </c>
      <c r="H17" s="32">
        <f t="shared" si="29"/>
        <v>5</v>
      </c>
      <c r="I17" s="8">
        <f t="shared" si="30"/>
        <v>0.8</v>
      </c>
      <c r="J17" s="9">
        <f t="shared" si="31"/>
        <v>3.0833333333333335</v>
      </c>
      <c r="K17" s="40">
        <f t="shared" si="32"/>
        <v>6063.9795918367345</v>
      </c>
      <c r="L17" s="40" t="str">
        <f t="shared" si="33"/>
        <v xml:space="preserve"> </v>
      </c>
      <c r="M17" s="40">
        <f t="shared" si="34"/>
        <v>304.85714285714283</v>
      </c>
      <c r="O17" s="10">
        <f t="shared" si="35"/>
        <v>5</v>
      </c>
      <c r="P17" s="10">
        <f t="shared" si="36"/>
        <v>-1</v>
      </c>
      <c r="Q17" s="10">
        <f t="shared" si="37"/>
        <v>-2</v>
      </c>
      <c r="R17" s="9">
        <f t="shared" si="38"/>
        <v>0</v>
      </c>
      <c r="T17" s="5" t="s">
        <v>139</v>
      </c>
      <c r="U17" s="32">
        <v>14938</v>
      </c>
      <c r="V17" s="32">
        <v>53</v>
      </c>
      <c r="W17" s="32">
        <v>24</v>
      </c>
      <c r="X17" s="37">
        <v>42</v>
      </c>
      <c r="Y17" s="37">
        <v>297135</v>
      </c>
      <c r="Z17" s="37">
        <v>186723</v>
      </c>
      <c r="AA17" s="37">
        <v>157196</v>
      </c>
      <c r="AB17" s="37">
        <v>22193</v>
      </c>
      <c r="AC17" s="37">
        <v>0</v>
      </c>
      <c r="AD17" s="37">
        <v>62018</v>
      </c>
      <c r="AE17" s="37">
        <v>149</v>
      </c>
      <c r="AF17" s="32">
        <v>4</v>
      </c>
      <c r="AG17" s="32">
        <v>1</v>
      </c>
      <c r="AH17" s="37">
        <v>49</v>
      </c>
      <c r="AI17" s="39">
        <f t="shared" si="39"/>
        <v>3.4027777777777775E-2</v>
      </c>
      <c r="AK17" s="9">
        <f t="shared" si="40"/>
        <v>1.0816326530612246</v>
      </c>
      <c r="AL17" s="9">
        <f t="shared" si="41"/>
        <v>0.48979591836734693</v>
      </c>
      <c r="AM17" s="6">
        <f t="shared" si="42"/>
        <v>0.8571428571428571</v>
      </c>
      <c r="AN17" s="8">
        <f t="shared" si="43"/>
        <v>0.62841132818415868</v>
      </c>
      <c r="AO17" s="8">
        <f t="shared" si="44"/>
        <v>0.37158867181584126</v>
      </c>
      <c r="AP17" s="40">
        <f t="shared" si="45"/>
        <v>3208.0816326530612</v>
      </c>
      <c r="AQ17" s="40">
        <f t="shared" si="46"/>
        <v>3.0408163265306123</v>
      </c>
      <c r="AR17" s="40">
        <f t="shared" si="47"/>
        <v>452.91836734693879</v>
      </c>
      <c r="AS17" s="40"/>
      <c r="AT17" s="40">
        <f t="shared" si="48"/>
        <v>1265.6734693877552</v>
      </c>
    </row>
    <row r="18" spans="1:46" ht="15" customHeight="1" x14ac:dyDescent="0.25">
      <c r="A18" s="6">
        <f t="shared" si="28"/>
        <v>1.8126554542854011E-7</v>
      </c>
      <c r="B18" s="7" t="s">
        <v>26</v>
      </c>
      <c r="C18" s="22" t="s">
        <v>38</v>
      </c>
      <c r="D18" s="13" t="str">
        <f>E18&amp;" "&amp;F18</f>
        <v>Projectile Repeater</v>
      </c>
      <c r="E18" s="4" t="s">
        <v>65</v>
      </c>
      <c r="F18" s="4" t="s">
        <v>63</v>
      </c>
      <c r="H18" s="32">
        <f t="shared" si="29"/>
        <v>3</v>
      </c>
      <c r="I18" s="8">
        <f t="shared" si="30"/>
        <v>0.66666666666666663</v>
      </c>
      <c r="J18" s="9">
        <f t="shared" si="31"/>
        <v>1.4857142857142858</v>
      </c>
      <c r="K18" s="40">
        <f t="shared" si="32"/>
        <v>7436.1428571428569</v>
      </c>
      <c r="L18" s="40" t="str">
        <f t="shared" si="33"/>
        <v xml:space="preserve"> </v>
      </c>
      <c r="M18" s="40">
        <f t="shared" si="34"/>
        <v>507.75</v>
      </c>
      <c r="O18" s="10">
        <f t="shared" si="35"/>
        <v>7</v>
      </c>
      <c r="P18" s="10">
        <f t="shared" si="36"/>
        <v>1</v>
      </c>
      <c r="Q18" s="10">
        <f t="shared" si="37"/>
        <v>53</v>
      </c>
      <c r="R18" s="9">
        <f t="shared" si="38"/>
        <v>7.5714285714285712</v>
      </c>
      <c r="T18" s="5" t="s">
        <v>140</v>
      </c>
      <c r="U18" s="32">
        <v>14217</v>
      </c>
      <c r="V18" s="32">
        <v>40</v>
      </c>
      <c r="W18" s="32">
        <v>35</v>
      </c>
      <c r="X18" s="37">
        <v>24</v>
      </c>
      <c r="Y18" s="37">
        <v>208212</v>
      </c>
      <c r="Z18" s="37">
        <v>157579</v>
      </c>
      <c r="AA18" s="37">
        <v>143173</v>
      </c>
      <c r="AB18" s="37">
        <v>0</v>
      </c>
      <c r="AC18" s="37">
        <v>0</v>
      </c>
      <c r="AD18" s="37">
        <v>3536</v>
      </c>
      <c r="AE18" s="37">
        <v>28</v>
      </c>
      <c r="AF18" s="32">
        <v>2</v>
      </c>
      <c r="AG18" s="32">
        <v>1</v>
      </c>
      <c r="AH18" s="37">
        <v>28</v>
      </c>
      <c r="AI18" s="39">
        <f t="shared" si="39"/>
        <v>1.9444444444444445E-2</v>
      </c>
      <c r="AK18" s="9">
        <f t="shared" si="40"/>
        <v>1.4285714285714286</v>
      </c>
      <c r="AL18" s="9">
        <f t="shared" si="41"/>
        <v>1.25</v>
      </c>
      <c r="AM18" s="6">
        <f t="shared" si="42"/>
        <v>0.8571428571428571</v>
      </c>
      <c r="AN18" s="8">
        <f t="shared" si="43"/>
        <v>0.75681997195166462</v>
      </c>
      <c r="AO18" s="8">
        <f t="shared" si="44"/>
        <v>0.24318002804833536</v>
      </c>
      <c r="AP18" s="40">
        <f t="shared" si="45"/>
        <v>5113.3214285714284</v>
      </c>
      <c r="AQ18" s="40">
        <f t="shared" si="46"/>
        <v>1</v>
      </c>
      <c r="AR18" s="40" t="str">
        <f t="shared" si="47"/>
        <v xml:space="preserve"> </v>
      </c>
      <c r="AS18" s="40"/>
      <c r="AT18" s="40">
        <f t="shared" si="48"/>
        <v>126.28571428571429</v>
      </c>
    </row>
    <row r="19" spans="1:46" ht="15" customHeight="1" x14ac:dyDescent="0.25">
      <c r="A19" s="6">
        <f t="shared" si="28"/>
        <v>9.1644283871038712E-8</v>
      </c>
      <c r="B19" s="7" t="s">
        <v>47</v>
      </c>
      <c r="C19" s="22" t="s">
        <v>38</v>
      </c>
      <c r="D19" s="13" t="str">
        <f>E19&amp;" "&amp;F19</f>
        <v>Projectile Repeater Charge</v>
      </c>
      <c r="E19" s="4" t="s">
        <v>65</v>
      </c>
      <c r="F19" s="12" t="s">
        <v>89</v>
      </c>
      <c r="H19" s="32">
        <f t="shared" si="29"/>
        <v>3</v>
      </c>
      <c r="I19" s="8">
        <f t="shared" si="30"/>
        <v>0.33333333333333331</v>
      </c>
      <c r="J19" s="9">
        <f t="shared" si="31"/>
        <v>2.71875</v>
      </c>
      <c r="K19" s="40">
        <f t="shared" si="32"/>
        <v>7991.4333333333334</v>
      </c>
      <c r="L19" s="40" t="str">
        <f t="shared" si="33"/>
        <v xml:space="preserve"> </v>
      </c>
      <c r="M19" s="40">
        <f t="shared" si="34"/>
        <v>280.56666666666666</v>
      </c>
      <c r="O19" s="10">
        <f t="shared" si="35"/>
        <v>7</v>
      </c>
      <c r="P19" s="10">
        <f t="shared" si="36"/>
        <v>4</v>
      </c>
      <c r="Q19" s="10">
        <f t="shared" si="37"/>
        <v>5</v>
      </c>
      <c r="R19" s="9">
        <f t="shared" si="38"/>
        <v>0.7142857142857143</v>
      </c>
      <c r="T19" s="5" t="s">
        <v>141</v>
      </c>
      <c r="U19" s="32">
        <v>8417</v>
      </c>
      <c r="V19" s="32">
        <v>29</v>
      </c>
      <c r="W19" s="32">
        <v>16</v>
      </c>
      <c r="X19" s="37">
        <v>29</v>
      </c>
      <c r="Y19" s="37">
        <v>239743</v>
      </c>
      <c r="Z19" s="37">
        <v>202602</v>
      </c>
      <c r="AA19" s="37">
        <v>98086</v>
      </c>
      <c r="AB19" s="37">
        <v>0</v>
      </c>
      <c r="AC19" s="37">
        <v>0</v>
      </c>
      <c r="AD19" s="37">
        <v>14012</v>
      </c>
      <c r="AE19" s="37">
        <v>98</v>
      </c>
      <c r="AF19" s="32">
        <v>1</v>
      </c>
      <c r="AG19" s="32">
        <v>2</v>
      </c>
      <c r="AH19" s="37">
        <v>30</v>
      </c>
      <c r="AI19" s="39">
        <f t="shared" si="39"/>
        <v>2.0833333333333332E-2</v>
      </c>
      <c r="AK19" s="9">
        <f t="shared" si="40"/>
        <v>0.96666666666666667</v>
      </c>
      <c r="AL19" s="9">
        <f t="shared" si="41"/>
        <v>0.53333333333333333</v>
      </c>
      <c r="AM19" s="6">
        <f t="shared" si="42"/>
        <v>0.96666666666666667</v>
      </c>
      <c r="AN19" s="8">
        <f t="shared" si="43"/>
        <v>0.84507993976883578</v>
      </c>
      <c r="AO19" s="8">
        <f t="shared" si="44"/>
        <v>0.1549200602311642</v>
      </c>
      <c r="AP19" s="40">
        <f t="shared" si="45"/>
        <v>3269.5333333333333</v>
      </c>
      <c r="AQ19" s="40">
        <f t="shared" si="46"/>
        <v>3.2666666666666666</v>
      </c>
      <c r="AR19" s="40" t="str">
        <f t="shared" si="47"/>
        <v xml:space="preserve"> </v>
      </c>
      <c r="AS19" s="40"/>
      <c r="AT19" s="40">
        <f t="shared" si="48"/>
        <v>467.06666666666666</v>
      </c>
    </row>
    <row r="20" spans="1:46" ht="15" customHeight="1" x14ac:dyDescent="0.25">
      <c r="A20" s="6">
        <f t="shared" si="28"/>
        <v>1.6633858212330953E-7</v>
      </c>
      <c r="B20" s="7" t="s">
        <v>135</v>
      </c>
      <c r="C20" s="22" t="s">
        <v>38</v>
      </c>
      <c r="H20" s="32">
        <f t="shared" si="29"/>
        <v>3</v>
      </c>
      <c r="I20" s="8">
        <f t="shared" si="30"/>
        <v>0.33333333333333331</v>
      </c>
      <c r="J20" s="9">
        <f t="shared" si="31"/>
        <v>3.6</v>
      </c>
      <c r="K20" s="40">
        <f t="shared" si="32"/>
        <v>9208.1666666666661</v>
      </c>
      <c r="L20" s="40">
        <f t="shared" si="33"/>
        <v>100.58333333333333</v>
      </c>
      <c r="M20" s="40">
        <f t="shared" si="34"/>
        <v>384.58333333333331</v>
      </c>
      <c r="O20" s="10">
        <f t="shared" si="35"/>
        <v>7</v>
      </c>
      <c r="P20" s="10">
        <f t="shared" si="36"/>
        <v>4</v>
      </c>
      <c r="Q20" s="10">
        <f t="shared" si="37"/>
        <v>-6</v>
      </c>
      <c r="R20" s="9">
        <f t="shared" si="38"/>
        <v>0</v>
      </c>
      <c r="T20" s="5" t="s">
        <v>143</v>
      </c>
      <c r="U20" s="32">
        <v>9230</v>
      </c>
      <c r="V20" s="32">
        <v>28</v>
      </c>
      <c r="W20" s="32">
        <v>10</v>
      </c>
      <c r="X20" s="37">
        <v>16</v>
      </c>
      <c r="Y20" s="37">
        <v>220996</v>
      </c>
      <c r="Z20" s="37">
        <v>194880</v>
      </c>
      <c r="AA20" s="37">
        <v>86799</v>
      </c>
      <c r="AB20" s="37">
        <v>18085</v>
      </c>
      <c r="AC20" s="37">
        <v>2414</v>
      </c>
      <c r="AD20" s="37">
        <v>21417</v>
      </c>
      <c r="AE20" s="37">
        <v>45</v>
      </c>
      <c r="AF20" s="32">
        <v>1</v>
      </c>
      <c r="AG20" s="32">
        <v>2</v>
      </c>
      <c r="AH20" s="37">
        <v>24</v>
      </c>
      <c r="AI20" s="39">
        <f t="shared" si="39"/>
        <v>1.6666666666666666E-2</v>
      </c>
      <c r="AK20" s="9">
        <f t="shared" si="40"/>
        <v>1.1666666666666667</v>
      </c>
      <c r="AL20" s="9">
        <f t="shared" si="41"/>
        <v>0.41666666666666669</v>
      </c>
      <c r="AM20" s="6">
        <f t="shared" si="42"/>
        <v>0.66666666666666663</v>
      </c>
      <c r="AN20" s="8">
        <f t="shared" si="43"/>
        <v>0.88182591540118371</v>
      </c>
      <c r="AO20" s="8">
        <f t="shared" si="44"/>
        <v>0.11817408459881627</v>
      </c>
      <c r="AP20" s="40">
        <f t="shared" si="45"/>
        <v>3616.625</v>
      </c>
      <c r="AQ20" s="40">
        <f t="shared" si="46"/>
        <v>1.875</v>
      </c>
      <c r="AR20" s="40">
        <f t="shared" si="47"/>
        <v>753.54166666666663</v>
      </c>
      <c r="AS20" s="40"/>
      <c r="AT20" s="40">
        <f t="shared" si="48"/>
        <v>992.95833333333337</v>
      </c>
    </row>
    <row r="21" spans="1:46" ht="15" customHeight="1" x14ac:dyDescent="0.25">
      <c r="A21" s="6">
        <f t="shared" si="28"/>
        <v>7.7845011161879771</v>
      </c>
      <c r="B21" s="7" t="s">
        <v>25</v>
      </c>
      <c r="C21" s="22" t="s">
        <v>38</v>
      </c>
      <c r="D21" s="13" t="str">
        <f t="shared" ref="D21:D64" si="49">E21&amp;" "&amp;F21</f>
        <v>Hitscan Repeater</v>
      </c>
      <c r="E21" s="4" t="s">
        <v>64</v>
      </c>
      <c r="F21" s="4" t="s">
        <v>63</v>
      </c>
      <c r="H21" s="32">
        <f t="shared" si="29"/>
        <v>15</v>
      </c>
      <c r="I21" s="8">
        <f t="shared" si="30"/>
        <v>0.6</v>
      </c>
      <c r="J21" s="9">
        <f t="shared" si="31"/>
        <v>3.404109589041096</v>
      </c>
      <c r="K21" s="40">
        <f t="shared" si="32"/>
        <v>8170.7049180327867</v>
      </c>
      <c r="L21" s="40" t="str">
        <f t="shared" si="33"/>
        <v xml:space="preserve"> </v>
      </c>
      <c r="M21" s="40">
        <f t="shared" si="34"/>
        <v>376.37704918032784</v>
      </c>
      <c r="O21" s="10">
        <f t="shared" si="35"/>
        <v>5</v>
      </c>
      <c r="P21" s="10">
        <f t="shared" si="36"/>
        <v>5</v>
      </c>
      <c r="Q21" s="10">
        <f t="shared" si="37"/>
        <v>-29</v>
      </c>
      <c r="R21" s="9">
        <f t="shared" si="38"/>
        <v>0</v>
      </c>
      <c r="T21" s="5" t="s">
        <v>198</v>
      </c>
      <c r="U21" s="32">
        <v>45918</v>
      </c>
      <c r="V21" s="32">
        <v>183</v>
      </c>
      <c r="W21" s="32">
        <v>73</v>
      </c>
      <c r="X21" s="37">
        <v>131</v>
      </c>
      <c r="Y21" s="37">
        <v>996826</v>
      </c>
      <c r="Z21" s="37">
        <v>951305</v>
      </c>
      <c r="AA21" s="37">
        <v>402640</v>
      </c>
      <c r="AB21" s="37">
        <v>0</v>
      </c>
      <c r="AC21" s="37">
        <v>0</v>
      </c>
      <c r="AD21" s="37">
        <v>34762</v>
      </c>
      <c r="AE21" s="37">
        <v>95</v>
      </c>
      <c r="AF21" s="32">
        <v>9</v>
      </c>
      <c r="AG21" s="32">
        <v>6</v>
      </c>
      <c r="AH21" s="37">
        <v>122</v>
      </c>
      <c r="AI21" s="39">
        <f t="shared" si="39"/>
        <v>8.4722222222222227E-2</v>
      </c>
      <c r="AK21" s="9">
        <f t="shared" si="40"/>
        <v>1.5</v>
      </c>
      <c r="AL21" s="9">
        <f t="shared" si="41"/>
        <v>0.59836065573770492</v>
      </c>
      <c r="AM21" s="6">
        <f t="shared" si="42"/>
        <v>1.0737704918032787</v>
      </c>
      <c r="AN21" s="8">
        <f t="shared" si="43"/>
        <v>0.95433405629467927</v>
      </c>
      <c r="AO21" s="8">
        <f t="shared" si="44"/>
        <v>4.5665943705320691E-2</v>
      </c>
      <c r="AP21" s="40">
        <f t="shared" si="45"/>
        <v>3300.3278688524592</v>
      </c>
      <c r="AQ21" s="40">
        <f t="shared" si="46"/>
        <v>0.77868852459016391</v>
      </c>
      <c r="AR21" s="40" t="str">
        <f t="shared" si="47"/>
        <v xml:space="preserve"> </v>
      </c>
      <c r="AS21" s="40"/>
      <c r="AT21" s="40">
        <f t="shared" si="48"/>
        <v>284.93442622950818</v>
      </c>
    </row>
    <row r="22" spans="1:46" ht="15" customHeight="1" x14ac:dyDescent="0.25">
      <c r="A22" s="6">
        <f t="shared" si="28"/>
        <v>7.9822017377892845E-11</v>
      </c>
      <c r="B22" s="7" t="s">
        <v>27</v>
      </c>
      <c r="C22" s="22" t="s">
        <v>38</v>
      </c>
      <c r="D22" s="13" t="str">
        <f t="shared" si="49"/>
        <v>Hitscan Tracking</v>
      </c>
      <c r="E22" s="4" t="s">
        <v>64</v>
      </c>
      <c r="F22" s="4" t="s">
        <v>91</v>
      </c>
      <c r="H22" s="32">
        <f t="shared" si="29"/>
        <v>2</v>
      </c>
      <c r="I22" s="8">
        <f t="shared" si="30"/>
        <v>1</v>
      </c>
      <c r="J22" s="9">
        <f t="shared" si="31"/>
        <v>4.75</v>
      </c>
      <c r="K22" s="40">
        <f t="shared" si="32"/>
        <v>7429.583333333333</v>
      </c>
      <c r="L22" s="40" t="str">
        <f t="shared" si="33"/>
        <v xml:space="preserve"> </v>
      </c>
      <c r="M22" s="40">
        <f t="shared" si="34"/>
        <v>466.58333333333331</v>
      </c>
      <c r="O22" s="10">
        <f t="shared" si="35"/>
        <v>8</v>
      </c>
      <c r="P22" s="10">
        <f t="shared" si="36"/>
        <v>-2</v>
      </c>
      <c r="Q22" s="10">
        <f t="shared" si="37"/>
        <v>-10</v>
      </c>
      <c r="R22" s="9">
        <f t="shared" si="38"/>
        <v>0</v>
      </c>
      <c r="T22" s="5" t="s">
        <v>148</v>
      </c>
      <c r="U22" s="32">
        <v>5599</v>
      </c>
      <c r="V22" s="32">
        <v>17</v>
      </c>
      <c r="W22" s="32">
        <v>6</v>
      </c>
      <c r="X22" s="37">
        <v>23</v>
      </c>
      <c r="Y22" s="37">
        <v>89155</v>
      </c>
      <c r="Z22" s="37">
        <v>78202</v>
      </c>
      <c r="AA22" s="37">
        <v>40503</v>
      </c>
      <c r="AB22" s="37">
        <v>14623</v>
      </c>
      <c r="AC22" s="37">
        <v>0</v>
      </c>
      <c r="AD22" s="37">
        <v>0</v>
      </c>
      <c r="AE22" s="37">
        <v>0</v>
      </c>
      <c r="AF22" s="32">
        <v>2</v>
      </c>
      <c r="AG22" s="32">
        <v>0</v>
      </c>
      <c r="AH22" s="37">
        <v>12</v>
      </c>
      <c r="AI22" s="39">
        <f t="shared" si="39"/>
        <v>8.3333333333333332E-3</v>
      </c>
      <c r="AK22" s="9">
        <f t="shared" si="40"/>
        <v>1.4166666666666667</v>
      </c>
      <c r="AL22" s="9">
        <f t="shared" si="41"/>
        <v>0.5</v>
      </c>
      <c r="AM22" s="6">
        <f t="shared" si="42"/>
        <v>1.9166666666666667</v>
      </c>
      <c r="AN22" s="8">
        <f t="shared" si="43"/>
        <v>0.87714654253827606</v>
      </c>
      <c r="AO22" s="8">
        <f t="shared" si="44"/>
        <v>0.12285345746172396</v>
      </c>
      <c r="AP22" s="40">
        <f t="shared" si="45"/>
        <v>3375.25</v>
      </c>
      <c r="AQ22" s="40" t="str">
        <f t="shared" si="46"/>
        <v xml:space="preserve"> </v>
      </c>
      <c r="AR22" s="40">
        <f t="shared" si="47"/>
        <v>1218.5833333333333</v>
      </c>
      <c r="AS22" s="40"/>
      <c r="AT22" s="40">
        <f t="shared" si="48"/>
        <v>0</v>
      </c>
    </row>
    <row r="23" spans="1:46" ht="15" customHeight="1" x14ac:dyDescent="0.25">
      <c r="A23" s="6">
        <f t="shared" si="28"/>
        <v>7.5720447773233991E-11</v>
      </c>
      <c r="B23" s="7" t="s">
        <v>31</v>
      </c>
      <c r="C23" s="22" t="s">
        <v>38</v>
      </c>
      <c r="D23" s="13" t="str">
        <f t="shared" si="49"/>
        <v>Hitscan Tracking</v>
      </c>
      <c r="E23" s="4" t="s">
        <v>64</v>
      </c>
      <c r="F23" s="4" t="s">
        <v>91</v>
      </c>
      <c r="H23" s="32">
        <f t="shared" si="29"/>
        <v>2</v>
      </c>
      <c r="I23" s="8">
        <f t="shared" si="30"/>
        <v>1</v>
      </c>
      <c r="J23" s="9">
        <f t="shared" si="31"/>
        <v>3.9285714285714284</v>
      </c>
      <c r="K23" s="40">
        <f t="shared" si="32"/>
        <v>5802.8461538461543</v>
      </c>
      <c r="L23" s="40" t="str">
        <f t="shared" si="33"/>
        <v xml:space="preserve"> </v>
      </c>
      <c r="M23" s="40">
        <f t="shared" si="34"/>
        <v>535.15384615384619</v>
      </c>
      <c r="O23" s="10">
        <f t="shared" si="35"/>
        <v>8</v>
      </c>
      <c r="P23" s="10">
        <f t="shared" si="36"/>
        <v>-2</v>
      </c>
      <c r="Q23" s="10">
        <f t="shared" si="37"/>
        <v>-6</v>
      </c>
      <c r="R23" s="9">
        <f t="shared" si="38"/>
        <v>0</v>
      </c>
      <c r="T23" s="5" t="s">
        <v>213</v>
      </c>
      <c r="U23" s="32">
        <v>6957</v>
      </c>
      <c r="V23" s="32">
        <v>21</v>
      </c>
      <c r="W23" s="32">
        <v>7</v>
      </c>
      <c r="X23" s="37">
        <v>13</v>
      </c>
      <c r="Y23" s="37">
        <v>75437</v>
      </c>
      <c r="Z23" s="37">
        <v>53733</v>
      </c>
      <c r="AA23" s="37">
        <v>40997</v>
      </c>
      <c r="AB23" s="37">
        <v>0</v>
      </c>
      <c r="AC23" s="37">
        <v>0</v>
      </c>
      <c r="AD23" s="37">
        <v>3387</v>
      </c>
      <c r="AE23" s="37">
        <v>85</v>
      </c>
      <c r="AF23" s="32">
        <v>2</v>
      </c>
      <c r="AG23" s="32">
        <v>0</v>
      </c>
      <c r="AH23" s="37">
        <v>13</v>
      </c>
      <c r="AI23" s="39">
        <f t="shared" si="39"/>
        <v>9.0277777777777769E-3</v>
      </c>
      <c r="AK23" s="9">
        <f t="shared" si="40"/>
        <v>1.6153846153846154</v>
      </c>
      <c r="AL23" s="9">
        <f t="shared" si="41"/>
        <v>0.53846153846153844</v>
      </c>
      <c r="AM23" s="6">
        <f t="shared" si="42"/>
        <v>1</v>
      </c>
      <c r="AN23" s="8">
        <f t="shared" si="43"/>
        <v>0.71228972520116118</v>
      </c>
      <c r="AO23" s="8">
        <f t="shared" si="44"/>
        <v>0.28771027479883876</v>
      </c>
      <c r="AP23" s="40">
        <f t="shared" si="45"/>
        <v>3153.6153846153848</v>
      </c>
      <c r="AQ23" s="40">
        <f t="shared" si="46"/>
        <v>6.5384615384615383</v>
      </c>
      <c r="AR23" s="40" t="str">
        <f t="shared" si="47"/>
        <v xml:space="preserve"> </v>
      </c>
      <c r="AS23" s="40"/>
      <c r="AT23" s="40">
        <f t="shared" si="48"/>
        <v>260.53846153846155</v>
      </c>
    </row>
    <row r="24" spans="1:46" ht="15" customHeight="1" x14ac:dyDescent="0.25">
      <c r="A24" s="6">
        <f t="shared" si="28"/>
        <v>0.51592201675399885</v>
      </c>
      <c r="B24" s="7" t="s">
        <v>16</v>
      </c>
      <c r="C24" s="22" t="s">
        <v>38</v>
      </c>
      <c r="D24" s="13" t="str">
        <f t="shared" si="49"/>
        <v>Hitscan Charge</v>
      </c>
      <c r="E24" s="4" t="s">
        <v>64</v>
      </c>
      <c r="F24" s="4" t="s">
        <v>62</v>
      </c>
      <c r="H24" s="32">
        <f t="shared" si="29"/>
        <v>11</v>
      </c>
      <c r="I24" s="8">
        <f t="shared" si="30"/>
        <v>0.36363636363636365</v>
      </c>
      <c r="J24" s="9">
        <f t="shared" si="31"/>
        <v>2.6230769230769231</v>
      </c>
      <c r="K24" s="40">
        <f t="shared" si="32"/>
        <v>6871.8095238095239</v>
      </c>
      <c r="L24" s="40" t="str">
        <f t="shared" si="33"/>
        <v xml:space="preserve"> </v>
      </c>
      <c r="M24" s="40">
        <f t="shared" si="34"/>
        <v>339.17142857142858</v>
      </c>
      <c r="O24" s="10">
        <f t="shared" si="35"/>
        <v>13</v>
      </c>
      <c r="P24" s="10">
        <f t="shared" si="36"/>
        <v>13</v>
      </c>
      <c r="Q24" s="10">
        <f t="shared" si="37"/>
        <v>25</v>
      </c>
      <c r="R24" s="9">
        <f t="shared" si="38"/>
        <v>1.9230769230769231</v>
      </c>
      <c r="T24" s="5" t="s">
        <v>142</v>
      </c>
      <c r="U24" s="32">
        <v>35613</v>
      </c>
      <c r="V24" s="32">
        <v>125</v>
      </c>
      <c r="W24" s="32">
        <v>65</v>
      </c>
      <c r="X24" s="37">
        <v>91</v>
      </c>
      <c r="Y24" s="37">
        <v>721540</v>
      </c>
      <c r="Z24" s="37">
        <v>649176</v>
      </c>
      <c r="AA24" s="37">
        <v>306176</v>
      </c>
      <c r="AB24" s="37">
        <v>0</v>
      </c>
      <c r="AC24" s="37">
        <v>0</v>
      </c>
      <c r="AD24" s="37">
        <v>40673</v>
      </c>
      <c r="AE24" s="37">
        <v>25</v>
      </c>
      <c r="AF24" s="32">
        <v>4</v>
      </c>
      <c r="AG24" s="32">
        <v>7</v>
      </c>
      <c r="AH24" s="37">
        <v>105</v>
      </c>
      <c r="AI24" s="39">
        <f t="shared" si="39"/>
        <v>7.2916666666666671E-2</v>
      </c>
      <c r="AK24" s="9">
        <f t="shared" si="40"/>
        <v>1.1904761904761905</v>
      </c>
      <c r="AL24" s="9">
        <f t="shared" si="41"/>
        <v>0.61904761904761907</v>
      </c>
      <c r="AM24" s="6">
        <f t="shared" si="42"/>
        <v>0.8666666666666667</v>
      </c>
      <c r="AN24" s="8">
        <f t="shared" si="43"/>
        <v>0.89970895584444388</v>
      </c>
      <c r="AO24" s="8">
        <f t="shared" si="44"/>
        <v>0.10029104415555617</v>
      </c>
      <c r="AP24" s="40">
        <f t="shared" si="45"/>
        <v>2915.9619047619049</v>
      </c>
      <c r="AQ24" s="40">
        <f t="shared" si="46"/>
        <v>0.23809523809523808</v>
      </c>
      <c r="AR24" s="40" t="str">
        <f t="shared" si="47"/>
        <v xml:space="preserve"> </v>
      </c>
      <c r="AS24" s="40"/>
      <c r="AT24" s="40">
        <f t="shared" si="48"/>
        <v>387.36190476190478</v>
      </c>
    </row>
    <row r="25" spans="1:46" ht="15" customHeight="1" x14ac:dyDescent="0.25">
      <c r="A25" s="6">
        <f t="shared" si="28"/>
        <v>30.998034946318334</v>
      </c>
      <c r="B25" s="7" t="s">
        <v>19</v>
      </c>
      <c r="C25" s="22" t="s">
        <v>38</v>
      </c>
      <c r="D25" s="13" t="str">
        <f t="shared" si="49"/>
        <v>Hitscan Repeater</v>
      </c>
      <c r="E25" s="4" t="s">
        <v>64</v>
      </c>
      <c r="F25" s="4" t="s">
        <v>63</v>
      </c>
      <c r="H25" s="32">
        <f t="shared" si="29"/>
        <v>31</v>
      </c>
      <c r="I25" s="8">
        <f t="shared" si="30"/>
        <v>0.54838709677419351</v>
      </c>
      <c r="J25" s="9">
        <f t="shared" si="31"/>
        <v>2.5954773869346734</v>
      </c>
      <c r="K25" s="40">
        <f t="shared" si="32"/>
        <v>6959.9069767441861</v>
      </c>
      <c r="L25" s="40" t="str">
        <f t="shared" si="33"/>
        <v xml:space="preserve"> </v>
      </c>
      <c r="M25" s="40">
        <f t="shared" si="34"/>
        <v>378.57751937984494</v>
      </c>
      <c r="O25" s="10">
        <f t="shared" si="35"/>
        <v>16</v>
      </c>
      <c r="P25" s="10">
        <f t="shared" si="36"/>
        <v>16</v>
      </c>
      <c r="Q25" s="10">
        <f t="shared" si="37"/>
        <v>81</v>
      </c>
      <c r="R25" s="9">
        <f t="shared" si="38"/>
        <v>5.0625</v>
      </c>
      <c r="T25" s="5" t="s">
        <v>145</v>
      </c>
      <c r="U25" s="32">
        <v>97673</v>
      </c>
      <c r="V25" s="32">
        <v>336</v>
      </c>
      <c r="W25" s="32">
        <v>199</v>
      </c>
      <c r="X25" s="37">
        <v>361</v>
      </c>
      <c r="Y25" s="37">
        <v>1795656</v>
      </c>
      <c r="Z25" s="37">
        <v>1670273</v>
      </c>
      <c r="AA25" s="37">
        <v>801348</v>
      </c>
      <c r="AB25" s="37">
        <v>0</v>
      </c>
      <c r="AC25" s="37">
        <v>0</v>
      </c>
      <c r="AD25" s="37">
        <v>3269</v>
      </c>
      <c r="AE25" s="37">
        <v>0</v>
      </c>
      <c r="AF25" s="32">
        <v>17</v>
      </c>
      <c r="AG25" s="32">
        <v>14</v>
      </c>
      <c r="AH25" s="37">
        <v>258</v>
      </c>
      <c r="AI25" s="39">
        <f t="shared" si="39"/>
        <v>0.17916666666666667</v>
      </c>
      <c r="AK25" s="9">
        <f t="shared" si="40"/>
        <v>1.3023255813953489</v>
      </c>
      <c r="AL25" s="9">
        <f t="shared" si="41"/>
        <v>0.77131782945736438</v>
      </c>
      <c r="AM25" s="6">
        <f t="shared" si="42"/>
        <v>1.3992248062015504</v>
      </c>
      <c r="AN25" s="8">
        <f t="shared" si="43"/>
        <v>0.93017426500398737</v>
      </c>
      <c r="AO25" s="8">
        <f t="shared" si="44"/>
        <v>6.9825734996012606E-2</v>
      </c>
      <c r="AP25" s="40">
        <f t="shared" si="45"/>
        <v>3106</v>
      </c>
      <c r="AQ25" s="40" t="str">
        <f t="shared" si="46"/>
        <v xml:space="preserve"> </v>
      </c>
      <c r="AR25" s="40" t="str">
        <f t="shared" si="47"/>
        <v xml:space="preserve"> </v>
      </c>
      <c r="AS25" s="40"/>
      <c r="AT25" s="40">
        <f t="shared" si="48"/>
        <v>12.670542635658915</v>
      </c>
    </row>
    <row r="26" spans="1:46" ht="15" customHeight="1" x14ac:dyDescent="0.25">
      <c r="A26" s="6">
        <f t="shared" si="28"/>
        <v>6.1367773018832903</v>
      </c>
      <c r="B26" s="7" t="s">
        <v>4</v>
      </c>
      <c r="C26" s="22" t="s">
        <v>38</v>
      </c>
      <c r="D26" s="13" t="str">
        <f t="shared" si="49"/>
        <v>Projectile Repeater</v>
      </c>
      <c r="E26" s="4" t="s">
        <v>65</v>
      </c>
      <c r="F26" s="4" t="s">
        <v>63</v>
      </c>
      <c r="H26" s="32">
        <f t="shared" si="29"/>
        <v>18</v>
      </c>
      <c r="I26" s="8">
        <f t="shared" si="30"/>
        <v>0.3888888888888889</v>
      </c>
      <c r="J26" s="9">
        <f t="shared" si="31"/>
        <v>2.467741935483871</v>
      </c>
      <c r="K26" s="40">
        <f t="shared" si="32"/>
        <v>7444.2205882352937</v>
      </c>
      <c r="L26" s="40" t="str">
        <f t="shared" si="33"/>
        <v xml:space="preserve"> </v>
      </c>
      <c r="M26" s="40">
        <f t="shared" si="34"/>
        <v>303.79411764705884</v>
      </c>
      <c r="O26" s="10">
        <f t="shared" si="35"/>
        <v>19</v>
      </c>
      <c r="P26" s="10">
        <f t="shared" si="36"/>
        <v>19</v>
      </c>
      <c r="Q26" s="10">
        <f t="shared" si="37"/>
        <v>83</v>
      </c>
      <c r="R26" s="9">
        <f t="shared" si="38"/>
        <v>4.3684210526315788</v>
      </c>
      <c r="T26" s="5" t="s">
        <v>138</v>
      </c>
      <c r="U26" s="32">
        <v>61974</v>
      </c>
      <c r="V26" s="32">
        <v>297</v>
      </c>
      <c r="W26" s="32">
        <v>155</v>
      </c>
      <c r="X26" s="37">
        <v>171</v>
      </c>
      <c r="Y26" s="37">
        <v>1518621</v>
      </c>
      <c r="Z26" s="37">
        <v>1302396</v>
      </c>
      <c r="AA26" s="37">
        <v>850912</v>
      </c>
      <c r="AB26" s="37">
        <v>0</v>
      </c>
      <c r="AC26" s="37">
        <v>0</v>
      </c>
      <c r="AD26" s="37">
        <v>0</v>
      </c>
      <c r="AE26" s="37">
        <v>0</v>
      </c>
      <c r="AF26" s="32">
        <v>7</v>
      </c>
      <c r="AG26" s="32">
        <v>11</v>
      </c>
      <c r="AH26" s="37">
        <v>204</v>
      </c>
      <c r="AI26" s="39">
        <f t="shared" si="39"/>
        <v>0.14166666666666666</v>
      </c>
      <c r="AK26" s="9">
        <f t="shared" si="40"/>
        <v>1.4558823529411764</v>
      </c>
      <c r="AL26" s="9">
        <f t="shared" si="41"/>
        <v>0.75980392156862742</v>
      </c>
      <c r="AM26" s="6">
        <f t="shared" si="42"/>
        <v>0.83823529411764708</v>
      </c>
      <c r="AN26" s="8">
        <f t="shared" si="43"/>
        <v>0.85761753590922296</v>
      </c>
      <c r="AO26" s="8">
        <f t="shared" si="44"/>
        <v>0.14238246409077709</v>
      </c>
      <c r="AP26" s="40">
        <f t="shared" si="45"/>
        <v>4171.1372549019607</v>
      </c>
      <c r="AQ26" s="40" t="str">
        <f t="shared" si="46"/>
        <v xml:space="preserve"> </v>
      </c>
      <c r="AR26" s="40" t="str">
        <f t="shared" si="47"/>
        <v xml:space="preserve"> </v>
      </c>
      <c r="AS26" s="40"/>
      <c r="AT26" s="40">
        <f t="shared" si="48"/>
        <v>0</v>
      </c>
    </row>
    <row r="27" spans="1:46" ht="15" customHeight="1" x14ac:dyDescent="0.25">
      <c r="A27" s="6">
        <f t="shared" si="28"/>
        <v>39.900775029057641</v>
      </c>
      <c r="B27" s="7" t="s">
        <v>6</v>
      </c>
      <c r="C27" s="22" t="s">
        <v>38</v>
      </c>
      <c r="D27" s="13" t="str">
        <f t="shared" si="49"/>
        <v>Hitscan Tracking</v>
      </c>
      <c r="E27" s="4" t="s">
        <v>64</v>
      </c>
      <c r="F27" s="12" t="s">
        <v>91</v>
      </c>
      <c r="H27" s="32">
        <f t="shared" si="29"/>
        <v>111</v>
      </c>
      <c r="I27" s="8">
        <f t="shared" si="30"/>
        <v>0.6216216216216216</v>
      </c>
      <c r="J27" s="9">
        <f t="shared" si="31"/>
        <v>2.8530778164924508</v>
      </c>
      <c r="K27" s="40">
        <f t="shared" si="32"/>
        <v>8123.1375186846035</v>
      </c>
      <c r="L27" s="40" t="str">
        <f t="shared" si="33"/>
        <v xml:space="preserve"> </v>
      </c>
      <c r="M27" s="40">
        <f t="shared" si="34"/>
        <v>292.03288490284007</v>
      </c>
      <c r="O27" s="10">
        <f t="shared" si="35"/>
        <v>29</v>
      </c>
      <c r="P27" s="10">
        <f t="shared" si="36"/>
        <v>29</v>
      </c>
      <c r="Q27" s="10">
        <f t="shared" si="37"/>
        <v>127</v>
      </c>
      <c r="R27" s="9">
        <f t="shared" si="38"/>
        <v>4.3793103448275863</v>
      </c>
      <c r="T27" s="5" t="s">
        <v>147</v>
      </c>
      <c r="U27" s="32">
        <v>390740</v>
      </c>
      <c r="V27" s="32">
        <v>1750</v>
      </c>
      <c r="W27" s="32">
        <v>861</v>
      </c>
      <c r="X27" s="37">
        <v>1413</v>
      </c>
      <c r="Y27" s="37">
        <v>10868758</v>
      </c>
      <c r="Z27" s="37">
        <v>6049939</v>
      </c>
      <c r="AA27" s="37">
        <v>4677372</v>
      </c>
      <c r="AB27" s="37">
        <v>0</v>
      </c>
      <c r="AC27" s="37">
        <v>0</v>
      </c>
      <c r="AD27" s="37">
        <v>75679</v>
      </c>
      <c r="AE27" s="37">
        <v>249</v>
      </c>
      <c r="AF27" s="32">
        <v>69</v>
      </c>
      <c r="AG27" s="32">
        <v>42</v>
      </c>
      <c r="AH27" s="37">
        <v>1338</v>
      </c>
      <c r="AI27" s="39">
        <f t="shared" si="39"/>
        <v>0.9291666666666667</v>
      </c>
      <c r="AK27" s="9">
        <f t="shared" si="40"/>
        <v>1.3079222720478325</v>
      </c>
      <c r="AL27" s="9">
        <f t="shared" si="41"/>
        <v>0.6434977578475336</v>
      </c>
      <c r="AM27" s="6">
        <f t="shared" si="42"/>
        <v>1.0560538116591929</v>
      </c>
      <c r="AN27" s="8">
        <f t="shared" si="43"/>
        <v>0.55663572599555533</v>
      </c>
      <c r="AO27" s="8">
        <f t="shared" si="44"/>
        <v>0.44336427400444467</v>
      </c>
      <c r="AP27" s="40">
        <f t="shared" si="45"/>
        <v>3495.7937219730943</v>
      </c>
      <c r="AQ27" s="40">
        <f t="shared" si="46"/>
        <v>0.18609865470852019</v>
      </c>
      <c r="AR27" s="40" t="str">
        <f t="shared" si="47"/>
        <v xml:space="preserve"> </v>
      </c>
      <c r="AS27" s="40"/>
      <c r="AT27" s="40">
        <f t="shared" si="48"/>
        <v>56.561285500747381</v>
      </c>
    </row>
    <row r="28" spans="1:46" ht="15" customHeight="1" x14ac:dyDescent="0.25">
      <c r="A28" s="6">
        <f t="shared" si="28"/>
        <v>39.051015483694222</v>
      </c>
      <c r="B28" s="7" t="s">
        <v>36</v>
      </c>
      <c r="C28" s="22" t="s">
        <v>38</v>
      </c>
      <c r="D28" s="13" t="str">
        <f t="shared" si="49"/>
        <v>Projectile Charge</v>
      </c>
      <c r="E28" s="4" t="s">
        <v>65</v>
      </c>
      <c r="F28" s="4" t="s">
        <v>62</v>
      </c>
      <c r="H28" s="32">
        <f t="shared" si="29"/>
        <v>67</v>
      </c>
      <c r="I28" s="8">
        <f t="shared" si="30"/>
        <v>0.55223880597014929</v>
      </c>
      <c r="J28" s="9">
        <f t="shared" si="31"/>
        <v>2.7727272727272729</v>
      </c>
      <c r="K28" s="40">
        <f t="shared" si="32"/>
        <v>7660.2474074074071</v>
      </c>
      <c r="L28" s="40" t="str">
        <f t="shared" si="33"/>
        <v xml:space="preserve"> </v>
      </c>
      <c r="M28" s="40">
        <f t="shared" si="34"/>
        <v>340.85185185185185</v>
      </c>
      <c r="O28" s="10">
        <f t="shared" si="35"/>
        <v>33</v>
      </c>
      <c r="P28" s="10">
        <f t="shared" si="36"/>
        <v>33</v>
      </c>
      <c r="Q28" s="10">
        <f t="shared" si="37"/>
        <v>110</v>
      </c>
      <c r="R28" s="9">
        <f t="shared" si="38"/>
        <v>3.3333333333333335</v>
      </c>
      <c r="T28" s="5" t="s">
        <v>144</v>
      </c>
      <c r="U28" s="32">
        <v>230075</v>
      </c>
      <c r="V28" s="32">
        <v>1048</v>
      </c>
      <c r="W28" s="32">
        <v>484</v>
      </c>
      <c r="X28" s="37">
        <v>588</v>
      </c>
      <c r="Y28" s="37">
        <v>5170667</v>
      </c>
      <c r="Z28" s="37">
        <v>4820224</v>
      </c>
      <c r="AA28" s="37">
        <v>2130082</v>
      </c>
      <c r="AB28" s="37">
        <v>0</v>
      </c>
      <c r="AC28" s="37">
        <v>0</v>
      </c>
      <c r="AD28" s="37">
        <v>8505</v>
      </c>
      <c r="AE28" s="37">
        <v>226</v>
      </c>
      <c r="AF28" s="32">
        <v>37</v>
      </c>
      <c r="AG28" s="32">
        <v>30</v>
      </c>
      <c r="AH28" s="37">
        <v>675</v>
      </c>
      <c r="AI28" s="39">
        <f t="shared" si="39"/>
        <v>0.46875</v>
      </c>
      <c r="AK28" s="9">
        <f t="shared" si="40"/>
        <v>1.5525925925925925</v>
      </c>
      <c r="AL28" s="9">
        <f t="shared" si="41"/>
        <v>0.71703703703703703</v>
      </c>
      <c r="AM28" s="6">
        <f t="shared" si="42"/>
        <v>0.87111111111111106</v>
      </c>
      <c r="AN28" s="8">
        <f t="shared" si="43"/>
        <v>0.93222479807730807</v>
      </c>
      <c r="AO28" s="8">
        <f t="shared" si="44"/>
        <v>6.7775201922691986E-2</v>
      </c>
      <c r="AP28" s="40">
        <f t="shared" si="45"/>
        <v>3155.6770370370368</v>
      </c>
      <c r="AQ28" s="40">
        <f t="shared" si="46"/>
        <v>0.33481481481481479</v>
      </c>
      <c r="AR28" s="40" t="str">
        <f t="shared" si="47"/>
        <v xml:space="preserve"> </v>
      </c>
      <c r="AS28" s="40"/>
      <c r="AT28" s="40">
        <f t="shared" si="48"/>
        <v>12.6</v>
      </c>
    </row>
    <row r="29" spans="1:46" ht="15" customHeight="1" x14ac:dyDescent="0.25">
      <c r="A29" s="6" t="str">
        <f t="shared" si="28"/>
        <v xml:space="preserve"> </v>
      </c>
      <c r="B29" s="7" t="s">
        <v>54</v>
      </c>
      <c r="C29" s="22" t="s">
        <v>38</v>
      </c>
      <c r="D29" s="13" t="str">
        <f t="shared" si="49"/>
        <v>Projectile Repeater</v>
      </c>
      <c r="E29" s="4" t="s">
        <v>65</v>
      </c>
      <c r="F29" s="4" t="s">
        <v>63</v>
      </c>
      <c r="H29" s="32" t="str">
        <f t="shared" si="29"/>
        <v xml:space="preserve"> </v>
      </c>
      <c r="I29" s="8" t="str">
        <f t="shared" si="30"/>
        <v/>
      </c>
      <c r="J29" s="9" t="str">
        <f t="shared" si="31"/>
        <v xml:space="preserve"> </v>
      </c>
      <c r="K29" s="40" t="str">
        <f t="shared" si="32"/>
        <v xml:space="preserve"> </v>
      </c>
      <c r="L29" s="40" t="str">
        <f t="shared" si="33"/>
        <v xml:space="preserve"> </v>
      </c>
      <c r="M29" s="40" t="str">
        <f t="shared" si="34"/>
        <v xml:space="preserve"> </v>
      </c>
      <c r="O29" s="10" t="str">
        <f t="shared" si="35"/>
        <v xml:space="preserve"> </v>
      </c>
      <c r="P29" s="10" t="str">
        <f t="shared" si="36"/>
        <v xml:space="preserve"> </v>
      </c>
      <c r="Q29" s="10" t="str">
        <f t="shared" si="37"/>
        <v xml:space="preserve"> </v>
      </c>
      <c r="R29" s="9" t="e">
        <f t="shared" si="38"/>
        <v>#VALUE!</v>
      </c>
      <c r="X29" s="37"/>
      <c r="Y29" s="37"/>
      <c r="Z29" s="37"/>
      <c r="AA29" s="37"/>
      <c r="AB29" s="37"/>
      <c r="AC29" s="37"/>
      <c r="AD29" s="37"/>
      <c r="AE29" s="37"/>
      <c r="AH29" s="37"/>
      <c r="AI29" s="39" t="str">
        <f t="shared" si="39"/>
        <v xml:space="preserve"> </v>
      </c>
      <c r="AK29" s="9" t="str">
        <f t="shared" si="40"/>
        <v xml:space="preserve"> </v>
      </c>
      <c r="AL29" s="9" t="str">
        <f t="shared" si="41"/>
        <v xml:space="preserve"> </v>
      </c>
      <c r="AM29" s="6" t="str">
        <f t="shared" si="42"/>
        <v xml:space="preserve"> </v>
      </c>
      <c r="AN29" s="8" t="str">
        <f t="shared" si="43"/>
        <v xml:space="preserve"> </v>
      </c>
      <c r="AO29" s="8" t="str">
        <f t="shared" si="44"/>
        <v xml:space="preserve"> </v>
      </c>
      <c r="AP29" s="40" t="str">
        <f t="shared" si="45"/>
        <v xml:space="preserve"> </v>
      </c>
      <c r="AQ29" s="40" t="str">
        <f t="shared" si="46"/>
        <v xml:space="preserve"> </v>
      </c>
      <c r="AR29" s="40" t="str">
        <f t="shared" si="47"/>
        <v xml:space="preserve"> </v>
      </c>
      <c r="AS29" s="40"/>
      <c r="AT29" s="40" t="str">
        <f t="shared" si="48"/>
        <v xml:space="preserve"> </v>
      </c>
    </row>
    <row r="30" spans="1:46" ht="15" customHeight="1" x14ac:dyDescent="0.25">
      <c r="A30" s="6" t="str">
        <f t="shared" si="28"/>
        <v xml:space="preserve"> </v>
      </c>
      <c r="B30" s="7" t="s">
        <v>22</v>
      </c>
      <c r="C30" s="22" t="s">
        <v>38</v>
      </c>
      <c r="D30" s="13" t="str">
        <f t="shared" si="49"/>
        <v>Projectile Repeater</v>
      </c>
      <c r="E30" s="4" t="s">
        <v>65</v>
      </c>
      <c r="F30" s="4" t="s">
        <v>63</v>
      </c>
      <c r="H30" s="32" t="str">
        <f t="shared" si="29"/>
        <v xml:space="preserve"> </v>
      </c>
      <c r="I30" s="8" t="str">
        <f t="shared" si="30"/>
        <v/>
      </c>
      <c r="J30" s="9" t="str">
        <f t="shared" si="31"/>
        <v xml:space="preserve"> </v>
      </c>
      <c r="K30" s="40" t="str">
        <f t="shared" si="32"/>
        <v xml:space="preserve"> </v>
      </c>
      <c r="L30" s="40" t="str">
        <f t="shared" si="33"/>
        <v xml:space="preserve"> </v>
      </c>
      <c r="M30" s="40" t="str">
        <f t="shared" si="34"/>
        <v xml:space="preserve"> </v>
      </c>
      <c r="O30" s="10" t="str">
        <f t="shared" si="35"/>
        <v xml:space="preserve"> </v>
      </c>
      <c r="P30" s="10" t="str">
        <f t="shared" si="36"/>
        <v xml:space="preserve"> </v>
      </c>
      <c r="Q30" s="10" t="str">
        <f t="shared" si="37"/>
        <v xml:space="preserve"> </v>
      </c>
      <c r="R30" s="9" t="e">
        <f t="shared" si="38"/>
        <v>#VALUE!</v>
      </c>
      <c r="X30" s="37"/>
      <c r="Y30" s="37"/>
      <c r="Z30" s="37"/>
      <c r="AA30" s="37"/>
      <c r="AB30" s="37"/>
      <c r="AC30" s="37"/>
      <c r="AD30" s="37"/>
      <c r="AE30" s="37"/>
      <c r="AH30" s="37"/>
      <c r="AI30" s="39" t="str">
        <f t="shared" si="39"/>
        <v xml:space="preserve"> </v>
      </c>
      <c r="AK30" s="9" t="str">
        <f t="shared" si="40"/>
        <v xml:space="preserve"> </v>
      </c>
      <c r="AL30" s="9" t="str">
        <f t="shared" si="41"/>
        <v xml:space="preserve"> </v>
      </c>
      <c r="AM30" s="6" t="str">
        <f t="shared" si="42"/>
        <v xml:space="preserve"> </v>
      </c>
      <c r="AN30" s="8" t="str">
        <f t="shared" si="43"/>
        <v xml:space="preserve"> </v>
      </c>
      <c r="AO30" s="8" t="str">
        <f t="shared" si="44"/>
        <v xml:space="preserve"> </v>
      </c>
      <c r="AP30" s="40" t="str">
        <f t="shared" si="45"/>
        <v xml:space="preserve"> </v>
      </c>
      <c r="AQ30" s="40" t="str">
        <f t="shared" si="46"/>
        <v xml:space="preserve"> </v>
      </c>
      <c r="AR30" s="40" t="str">
        <f t="shared" si="47"/>
        <v xml:space="preserve"> </v>
      </c>
      <c r="AS30" s="40"/>
      <c r="AT30" s="40" t="str">
        <f t="shared" si="48"/>
        <v xml:space="preserve"> </v>
      </c>
    </row>
    <row r="31" spans="1:46" ht="15" customHeight="1" x14ac:dyDescent="0.25">
      <c r="A31" s="6">
        <f t="shared" si="28"/>
        <v>4.2696582561078396</v>
      </c>
      <c r="B31" s="7" t="s">
        <v>9</v>
      </c>
      <c r="C31" s="22" t="s">
        <v>39</v>
      </c>
      <c r="D31" s="13" t="str">
        <f t="shared" si="49"/>
        <v>Hitscan Repeater</v>
      </c>
      <c r="E31" s="4" t="s">
        <v>64</v>
      </c>
      <c r="F31" s="4" t="s">
        <v>63</v>
      </c>
      <c r="H31" s="32">
        <f t="shared" si="29"/>
        <v>12</v>
      </c>
      <c r="I31" s="8">
        <f t="shared" si="30"/>
        <v>1</v>
      </c>
      <c r="J31" s="9">
        <f t="shared" si="31"/>
        <v>3.5972222222222223</v>
      </c>
      <c r="K31" s="40">
        <f t="shared" si="32"/>
        <v>6783.0849056603774</v>
      </c>
      <c r="L31" s="40" t="str">
        <f t="shared" si="33"/>
        <v xml:space="preserve"> </v>
      </c>
      <c r="M31" s="40">
        <f t="shared" si="34"/>
        <v>410.88679245283021</v>
      </c>
      <c r="O31" s="10">
        <f t="shared" si="35"/>
        <v>-2</v>
      </c>
      <c r="P31" s="10">
        <f t="shared" si="36"/>
        <v>-12</v>
      </c>
      <c r="Q31" s="10">
        <f t="shared" si="37"/>
        <v>-43</v>
      </c>
      <c r="R31" s="9">
        <f t="shared" si="38"/>
        <v>0</v>
      </c>
      <c r="T31" s="5" t="s">
        <v>149</v>
      </c>
      <c r="U31" s="32">
        <v>43554</v>
      </c>
      <c r="V31" s="32">
        <v>182</v>
      </c>
      <c r="W31" s="32">
        <v>72</v>
      </c>
      <c r="X31" s="37">
        <v>154</v>
      </c>
      <c r="Y31" s="37">
        <v>719007</v>
      </c>
      <c r="Z31" s="37">
        <v>645892</v>
      </c>
      <c r="AA31" s="37">
        <v>513282</v>
      </c>
      <c r="AB31" s="37">
        <v>0</v>
      </c>
      <c r="AC31" s="37">
        <v>0</v>
      </c>
      <c r="AD31" s="37">
        <v>28644</v>
      </c>
      <c r="AE31" s="37">
        <v>34</v>
      </c>
      <c r="AF31" s="32">
        <v>12</v>
      </c>
      <c r="AG31" s="32">
        <v>0</v>
      </c>
      <c r="AH31" s="37">
        <v>106</v>
      </c>
      <c r="AI31" s="39">
        <f t="shared" si="39"/>
        <v>7.3611111111111113E-2</v>
      </c>
      <c r="AK31" s="9">
        <f t="shared" si="40"/>
        <v>1.7169811320754718</v>
      </c>
      <c r="AL31" s="9">
        <f t="shared" si="41"/>
        <v>0.67924528301886788</v>
      </c>
      <c r="AM31" s="6">
        <f t="shared" si="42"/>
        <v>1.4528301886792452</v>
      </c>
      <c r="AN31" s="8">
        <f t="shared" si="43"/>
        <v>0.89831114300695269</v>
      </c>
      <c r="AO31" s="8">
        <f t="shared" si="44"/>
        <v>0.10168885699304736</v>
      </c>
      <c r="AP31" s="40">
        <f t="shared" si="45"/>
        <v>4842.2830188679245</v>
      </c>
      <c r="AQ31" s="40">
        <f t="shared" si="46"/>
        <v>0.32075471698113206</v>
      </c>
      <c r="AR31" s="40" t="str">
        <f t="shared" si="47"/>
        <v xml:space="preserve"> </v>
      </c>
      <c r="AS31" s="40"/>
      <c r="AT31" s="40">
        <f t="shared" si="48"/>
        <v>270.22641509433964</v>
      </c>
    </row>
    <row r="32" spans="1:46" ht="15" customHeight="1" x14ac:dyDescent="0.25">
      <c r="A32" s="6">
        <f t="shared" si="28"/>
        <v>1.8293459674936934E-2</v>
      </c>
      <c r="B32" s="7" t="s">
        <v>13</v>
      </c>
      <c r="C32" s="22" t="s">
        <v>39</v>
      </c>
      <c r="D32" s="13" t="str">
        <f t="shared" si="49"/>
        <v>Projectile Repeater</v>
      </c>
      <c r="E32" s="4" t="s">
        <v>65</v>
      </c>
      <c r="F32" s="4" t="s">
        <v>63</v>
      </c>
      <c r="H32" s="32">
        <f t="shared" si="29"/>
        <v>7</v>
      </c>
      <c r="I32" s="8">
        <f t="shared" si="30"/>
        <v>0.7142857142857143</v>
      </c>
      <c r="J32" s="9">
        <f t="shared" si="31"/>
        <v>2.7924528301886791</v>
      </c>
      <c r="K32" s="40">
        <f t="shared" si="32"/>
        <v>6220.4418604651164</v>
      </c>
      <c r="L32" s="40" t="str">
        <f t="shared" si="33"/>
        <v xml:space="preserve"> </v>
      </c>
      <c r="M32" s="40">
        <f t="shared" si="34"/>
        <v>286.90697674418607</v>
      </c>
      <c r="O32" s="10">
        <f t="shared" si="35"/>
        <v>3</v>
      </c>
      <c r="P32" s="10">
        <f t="shared" si="36"/>
        <v>0</v>
      </c>
      <c r="Q32" s="10">
        <f t="shared" si="37"/>
        <v>11</v>
      </c>
      <c r="R32" s="9">
        <f t="shared" si="38"/>
        <v>3.6666666666666665</v>
      </c>
      <c r="T32" s="5" t="s">
        <v>150</v>
      </c>
      <c r="U32" s="32">
        <v>24674</v>
      </c>
      <c r="V32" s="32">
        <v>116</v>
      </c>
      <c r="W32" s="32">
        <v>53</v>
      </c>
      <c r="X32" s="37">
        <v>64</v>
      </c>
      <c r="Y32" s="37">
        <v>534958</v>
      </c>
      <c r="Z32" s="37">
        <v>513069</v>
      </c>
      <c r="AA32" s="37">
        <v>238202</v>
      </c>
      <c r="AB32" s="37">
        <v>0</v>
      </c>
      <c r="AC32" s="37">
        <v>0</v>
      </c>
      <c r="AD32" s="37">
        <v>36393</v>
      </c>
      <c r="AE32" s="37">
        <v>98</v>
      </c>
      <c r="AF32" s="32">
        <v>5</v>
      </c>
      <c r="AG32" s="32">
        <v>2</v>
      </c>
      <c r="AH32" s="37">
        <v>86</v>
      </c>
      <c r="AI32" s="39">
        <f t="shared" si="39"/>
        <v>5.9722222222222225E-2</v>
      </c>
      <c r="AK32" s="9">
        <f t="shared" si="40"/>
        <v>1.3488372093023255</v>
      </c>
      <c r="AL32" s="9">
        <f t="shared" si="41"/>
        <v>0.61627906976744184</v>
      </c>
      <c r="AM32" s="6">
        <f t="shared" si="42"/>
        <v>0.7441860465116279</v>
      </c>
      <c r="AN32" s="8">
        <f t="shared" si="43"/>
        <v>0.95908276911458468</v>
      </c>
      <c r="AO32" s="8">
        <f t="shared" si="44"/>
        <v>4.0917230885415302E-2</v>
      </c>
      <c r="AP32" s="40">
        <f t="shared" si="45"/>
        <v>2769.7906976744184</v>
      </c>
      <c r="AQ32" s="40">
        <f t="shared" si="46"/>
        <v>1.1395348837209303</v>
      </c>
      <c r="AR32" s="40" t="str">
        <f t="shared" si="47"/>
        <v xml:space="preserve"> </v>
      </c>
      <c r="AS32" s="40"/>
      <c r="AT32" s="40">
        <f t="shared" si="48"/>
        <v>423.17441860465118</v>
      </c>
    </row>
    <row r="33" spans="1:46" ht="15" customHeight="1" x14ac:dyDescent="0.25">
      <c r="A33" s="6">
        <f t="shared" si="28"/>
        <v>3.6760477551046743E-2</v>
      </c>
      <c r="B33" s="7" t="s">
        <v>34</v>
      </c>
      <c r="C33" s="22" t="s">
        <v>39</v>
      </c>
      <c r="D33" s="13" t="str">
        <f t="shared" si="49"/>
        <v>Hitscan Projectile Tracking Repeater</v>
      </c>
      <c r="E33" s="12" t="s">
        <v>90</v>
      </c>
      <c r="F33" s="12" t="s">
        <v>92</v>
      </c>
      <c r="H33" s="32">
        <f t="shared" si="29"/>
        <v>7</v>
      </c>
      <c r="I33" s="8">
        <f t="shared" si="30"/>
        <v>0.8571428571428571</v>
      </c>
      <c r="J33" s="9">
        <f t="shared" si="31"/>
        <v>2.8863636363636362</v>
      </c>
      <c r="K33" s="40">
        <f t="shared" si="32"/>
        <v>7056.4444444444443</v>
      </c>
      <c r="L33" s="40" t="str">
        <f t="shared" si="33"/>
        <v xml:space="preserve"> </v>
      </c>
      <c r="M33" s="40">
        <f t="shared" si="34"/>
        <v>464.81481481481484</v>
      </c>
      <c r="O33" s="10">
        <f t="shared" si="35"/>
        <v>3</v>
      </c>
      <c r="P33" s="10">
        <f t="shared" si="36"/>
        <v>-3</v>
      </c>
      <c r="Q33" s="10">
        <f t="shared" si="37"/>
        <v>5</v>
      </c>
      <c r="R33" s="9">
        <f t="shared" si="38"/>
        <v>1.6666666666666667</v>
      </c>
      <c r="T33" s="5" t="s">
        <v>151</v>
      </c>
      <c r="U33" s="32">
        <v>25100</v>
      </c>
      <c r="V33" s="32">
        <v>89</v>
      </c>
      <c r="W33" s="32">
        <v>44</v>
      </c>
      <c r="X33" s="37">
        <v>76</v>
      </c>
      <c r="Y33" s="37">
        <v>381048</v>
      </c>
      <c r="Z33" s="37">
        <v>345971</v>
      </c>
      <c r="AA33" s="37">
        <v>243155</v>
      </c>
      <c r="AB33" s="37">
        <v>0</v>
      </c>
      <c r="AC33" s="37">
        <v>0</v>
      </c>
      <c r="AD33" s="37">
        <v>59004</v>
      </c>
      <c r="AE33" s="37">
        <v>81</v>
      </c>
      <c r="AF33" s="32">
        <v>6</v>
      </c>
      <c r="AG33" s="32">
        <v>1</v>
      </c>
      <c r="AH33" s="37">
        <v>54</v>
      </c>
      <c r="AI33" s="39">
        <f t="shared" si="39"/>
        <v>3.7499999999999999E-2</v>
      </c>
      <c r="AK33" s="9">
        <f t="shared" si="40"/>
        <v>1.6481481481481481</v>
      </c>
      <c r="AL33" s="9">
        <f t="shared" si="41"/>
        <v>0.81481481481481477</v>
      </c>
      <c r="AM33" s="6">
        <f t="shared" si="42"/>
        <v>1.4074074074074074</v>
      </c>
      <c r="AN33" s="8">
        <f t="shared" si="43"/>
        <v>0.90794598055887976</v>
      </c>
      <c r="AO33" s="8">
        <f t="shared" si="44"/>
        <v>9.205401944112028E-2</v>
      </c>
      <c r="AP33" s="40">
        <f t="shared" si="45"/>
        <v>4502.8703703703704</v>
      </c>
      <c r="AQ33" s="40">
        <f t="shared" si="46"/>
        <v>1.5</v>
      </c>
      <c r="AR33" s="40" t="str">
        <f t="shared" si="47"/>
        <v xml:space="preserve"> </v>
      </c>
      <c r="AS33" s="40"/>
      <c r="AT33" s="40">
        <f t="shared" si="48"/>
        <v>1092.6666666666667</v>
      </c>
    </row>
    <row r="34" spans="1:46" ht="15" customHeight="1" x14ac:dyDescent="0.25">
      <c r="A34" s="6">
        <f t="shared" si="28"/>
        <v>1.0376593449572637E-3</v>
      </c>
      <c r="B34" s="7" t="s">
        <v>30</v>
      </c>
      <c r="C34" s="22" t="s">
        <v>39</v>
      </c>
      <c r="D34" s="13" t="str">
        <f t="shared" si="49"/>
        <v>Hitscan Repeater</v>
      </c>
      <c r="E34" s="4" t="s">
        <v>64</v>
      </c>
      <c r="F34" s="4" t="s">
        <v>63</v>
      </c>
      <c r="H34" s="32">
        <f t="shared" si="29"/>
        <v>5</v>
      </c>
      <c r="I34" s="8">
        <f t="shared" si="30"/>
        <v>1</v>
      </c>
      <c r="J34" s="9">
        <f t="shared" si="31"/>
        <v>4.1515151515151514</v>
      </c>
      <c r="K34" s="40">
        <f t="shared" si="32"/>
        <v>7132.707692307692</v>
      </c>
      <c r="L34" s="40" t="str">
        <f t="shared" si="33"/>
        <v xml:space="preserve"> </v>
      </c>
      <c r="M34" s="40">
        <f t="shared" si="34"/>
        <v>336.55384615384617</v>
      </c>
      <c r="O34" s="10">
        <f t="shared" si="35"/>
        <v>5</v>
      </c>
      <c r="P34" s="10">
        <f t="shared" si="36"/>
        <v>-5</v>
      </c>
      <c r="Q34" s="10">
        <f t="shared" si="37"/>
        <v>-38</v>
      </c>
      <c r="R34" s="9">
        <f t="shared" si="38"/>
        <v>0</v>
      </c>
      <c r="T34" s="5" t="s">
        <v>152</v>
      </c>
      <c r="U34" s="32">
        <v>21876</v>
      </c>
      <c r="V34" s="32">
        <v>105</v>
      </c>
      <c r="W34" s="32">
        <v>33</v>
      </c>
      <c r="X34" s="37">
        <v>64</v>
      </c>
      <c r="Y34" s="37">
        <v>463626</v>
      </c>
      <c r="Z34" s="37">
        <v>432193</v>
      </c>
      <c r="AA34" s="37">
        <v>227413</v>
      </c>
      <c r="AB34" s="37">
        <v>0</v>
      </c>
      <c r="AC34" s="37">
        <v>0</v>
      </c>
      <c r="AD34" s="37">
        <v>25132</v>
      </c>
      <c r="AE34" s="37">
        <v>170</v>
      </c>
      <c r="AF34" s="32">
        <v>5</v>
      </c>
      <c r="AG34" s="32">
        <v>0</v>
      </c>
      <c r="AH34" s="37">
        <v>65</v>
      </c>
      <c r="AI34" s="39">
        <f t="shared" si="39"/>
        <v>4.5138888888888888E-2</v>
      </c>
      <c r="AK34" s="9">
        <f t="shared" si="40"/>
        <v>1.6153846153846154</v>
      </c>
      <c r="AL34" s="9">
        <f t="shared" si="41"/>
        <v>0.50769230769230766</v>
      </c>
      <c r="AM34" s="6">
        <f t="shared" si="42"/>
        <v>0.98461538461538467</v>
      </c>
      <c r="AN34" s="8">
        <f t="shared" si="43"/>
        <v>0.93220181784455569</v>
      </c>
      <c r="AO34" s="8">
        <f t="shared" si="44"/>
        <v>6.7798182155444253E-2</v>
      </c>
      <c r="AP34" s="40">
        <f t="shared" si="45"/>
        <v>3498.6615384615384</v>
      </c>
      <c r="AQ34" s="40">
        <f t="shared" si="46"/>
        <v>2.6153846153846154</v>
      </c>
      <c r="AR34" s="40" t="str">
        <f t="shared" si="47"/>
        <v xml:space="preserve"> </v>
      </c>
      <c r="AS34" s="40"/>
      <c r="AT34" s="40">
        <f t="shared" si="48"/>
        <v>386.64615384615382</v>
      </c>
    </row>
    <row r="35" spans="1:46" ht="15" customHeight="1" x14ac:dyDescent="0.25">
      <c r="A35" s="6">
        <f t="shared" si="28"/>
        <v>7.6607644016508057E-5</v>
      </c>
      <c r="B35" s="7" t="s">
        <v>29</v>
      </c>
      <c r="C35" s="22" t="s">
        <v>39</v>
      </c>
      <c r="D35" s="13" t="str">
        <f t="shared" si="49"/>
        <v>Hitscan Tracking</v>
      </c>
      <c r="E35" s="4" t="s">
        <v>64</v>
      </c>
      <c r="F35" s="4" t="s">
        <v>91</v>
      </c>
      <c r="H35" s="32">
        <f t="shared" si="29"/>
        <v>4</v>
      </c>
      <c r="I35" s="8">
        <f t="shared" si="30"/>
        <v>0.75</v>
      </c>
      <c r="J35" s="9">
        <f t="shared" si="31"/>
        <v>5.2058823529411766</v>
      </c>
      <c r="K35" s="40">
        <f t="shared" si="32"/>
        <v>8871.5555555555547</v>
      </c>
      <c r="L35" s="40">
        <f t="shared" si="33"/>
        <v>2181</v>
      </c>
      <c r="M35" s="40">
        <f t="shared" si="34"/>
        <v>520.25925925925924</v>
      </c>
      <c r="O35" s="10">
        <f t="shared" si="35"/>
        <v>6</v>
      </c>
      <c r="P35" s="10">
        <f t="shared" si="36"/>
        <v>0</v>
      </c>
      <c r="Q35" s="10">
        <f t="shared" si="37"/>
        <v>-37</v>
      </c>
      <c r="R35" s="9">
        <f t="shared" si="38"/>
        <v>0</v>
      </c>
      <c r="T35" s="5" t="s">
        <v>154</v>
      </c>
      <c r="U35" s="32">
        <v>14047</v>
      </c>
      <c r="V35" s="32">
        <v>67</v>
      </c>
      <c r="W35" s="32">
        <v>17</v>
      </c>
      <c r="X35" s="37">
        <v>43</v>
      </c>
      <c r="Y35" s="37">
        <v>239532</v>
      </c>
      <c r="Z35" s="37">
        <v>184097</v>
      </c>
      <c r="AA35" s="37">
        <v>101042</v>
      </c>
      <c r="AB35" s="37">
        <v>0</v>
      </c>
      <c r="AC35" s="37">
        <v>58887</v>
      </c>
      <c r="AD35" s="37">
        <v>38822</v>
      </c>
      <c r="AE35" s="37">
        <v>239</v>
      </c>
      <c r="AF35" s="32">
        <v>3</v>
      </c>
      <c r="AG35" s="32">
        <v>1</v>
      </c>
      <c r="AH35" s="37">
        <v>27</v>
      </c>
      <c r="AI35" s="39">
        <f t="shared" si="39"/>
        <v>1.8749999999999999E-2</v>
      </c>
      <c r="AK35" s="9">
        <f t="shared" si="40"/>
        <v>2.4814814814814814</v>
      </c>
      <c r="AL35" s="9">
        <f t="shared" si="41"/>
        <v>0.62962962962962965</v>
      </c>
      <c r="AM35" s="6">
        <f t="shared" si="42"/>
        <v>1.5925925925925926</v>
      </c>
      <c r="AN35" s="8">
        <f t="shared" si="43"/>
        <v>0.76856954394402421</v>
      </c>
      <c r="AO35" s="8">
        <f t="shared" si="44"/>
        <v>0.23143045605597581</v>
      </c>
      <c r="AP35" s="40">
        <f t="shared" si="45"/>
        <v>3742.2962962962961</v>
      </c>
      <c r="AQ35" s="40">
        <f t="shared" si="46"/>
        <v>8.8518518518518512</v>
      </c>
      <c r="AR35" s="40" t="str">
        <f t="shared" si="47"/>
        <v xml:space="preserve"> </v>
      </c>
      <c r="AS35" s="40"/>
      <c r="AT35" s="40">
        <f t="shared" si="48"/>
        <v>3618.8518518518517</v>
      </c>
    </row>
    <row r="36" spans="1:46" ht="15" customHeight="1" x14ac:dyDescent="0.25">
      <c r="A36" s="6">
        <f t="shared" si="28"/>
        <v>1.5861101276750483E-11</v>
      </c>
      <c r="B36" s="7" t="s">
        <v>28</v>
      </c>
      <c r="C36" s="22" t="s">
        <v>39</v>
      </c>
      <c r="D36" s="13" t="str">
        <f t="shared" si="49"/>
        <v>Projectile Repeater</v>
      </c>
      <c r="E36" s="4" t="s">
        <v>65</v>
      </c>
      <c r="F36" s="4" t="s">
        <v>63</v>
      </c>
      <c r="H36" s="32">
        <f t="shared" si="29"/>
        <v>2</v>
      </c>
      <c r="I36" s="8">
        <f t="shared" si="30"/>
        <v>0.5</v>
      </c>
      <c r="J36" s="9">
        <f t="shared" si="31"/>
        <v>2.3333333333333335</v>
      </c>
      <c r="K36" s="40">
        <f t="shared" si="32"/>
        <v>7255.1578947368425</v>
      </c>
      <c r="L36" s="40" t="str">
        <f t="shared" si="33"/>
        <v xml:space="preserve"> </v>
      </c>
      <c r="M36" s="40">
        <f t="shared" si="34"/>
        <v>377.4736842105263</v>
      </c>
      <c r="O36" s="10">
        <f t="shared" si="35"/>
        <v>8</v>
      </c>
      <c r="P36" s="10">
        <f t="shared" si="36"/>
        <v>2</v>
      </c>
      <c r="Q36" s="10">
        <f t="shared" si="37"/>
        <v>10</v>
      </c>
      <c r="R36" s="9">
        <f t="shared" si="38"/>
        <v>1.25</v>
      </c>
      <c r="T36" s="5" t="s">
        <v>155</v>
      </c>
      <c r="U36" s="32">
        <v>7172</v>
      </c>
      <c r="V36" s="32">
        <v>24</v>
      </c>
      <c r="W36" s="32">
        <v>15</v>
      </c>
      <c r="X36" s="32">
        <v>22</v>
      </c>
      <c r="Y36" s="32">
        <v>137848</v>
      </c>
      <c r="Z36" s="32">
        <v>109321</v>
      </c>
      <c r="AA36" s="32">
        <v>77643</v>
      </c>
      <c r="AB36" s="32">
        <v>0</v>
      </c>
      <c r="AC36" s="32">
        <v>0</v>
      </c>
      <c r="AD36" s="32">
        <v>3106</v>
      </c>
      <c r="AE36" s="32">
        <v>119</v>
      </c>
      <c r="AF36" s="32">
        <v>1</v>
      </c>
      <c r="AG36" s="32">
        <v>1</v>
      </c>
      <c r="AH36" s="37">
        <v>19</v>
      </c>
      <c r="AI36" s="39">
        <f t="shared" si="39"/>
        <v>1.3194444444444444E-2</v>
      </c>
      <c r="AK36" s="9">
        <f t="shared" si="40"/>
        <v>1.263157894736842</v>
      </c>
      <c r="AL36" s="9">
        <f t="shared" si="41"/>
        <v>0.78947368421052633</v>
      </c>
      <c r="AM36" s="6">
        <f t="shared" si="42"/>
        <v>1.1578947368421053</v>
      </c>
      <c r="AN36" s="8">
        <f t="shared" si="43"/>
        <v>0.79305466891068421</v>
      </c>
      <c r="AO36" s="8">
        <f t="shared" si="44"/>
        <v>0.20694533108931576</v>
      </c>
      <c r="AP36" s="40">
        <f t="shared" si="45"/>
        <v>4086.4736842105262</v>
      </c>
      <c r="AQ36" s="40">
        <f t="shared" si="46"/>
        <v>6.2631578947368425</v>
      </c>
      <c r="AR36" s="40" t="str">
        <f t="shared" si="47"/>
        <v xml:space="preserve"> </v>
      </c>
      <c r="AS36" s="40"/>
      <c r="AT36" s="40">
        <f t="shared" si="48"/>
        <v>163.47368421052633</v>
      </c>
    </row>
    <row r="37" spans="1:46" ht="15" customHeight="1" x14ac:dyDescent="0.25">
      <c r="A37" s="6">
        <f t="shared" si="28"/>
        <v>0</v>
      </c>
      <c r="B37" s="7" t="s">
        <v>20</v>
      </c>
      <c r="C37" s="22" t="s">
        <v>39</v>
      </c>
      <c r="D37" s="13" t="str">
        <f t="shared" si="49"/>
        <v>Projectile Arc</v>
      </c>
      <c r="E37" s="4" t="s">
        <v>65</v>
      </c>
      <c r="F37" s="4" t="s">
        <v>66</v>
      </c>
      <c r="H37" s="32">
        <f t="shared" si="29"/>
        <v>1</v>
      </c>
      <c r="I37" s="8">
        <f t="shared" si="30"/>
        <v>1</v>
      </c>
      <c r="J37" s="9">
        <f t="shared" si="31"/>
        <v>3</v>
      </c>
      <c r="K37" s="40">
        <f t="shared" si="32"/>
        <v>7530.4444444444443</v>
      </c>
      <c r="L37" s="40" t="str">
        <f t="shared" si="33"/>
        <v xml:space="preserve"> </v>
      </c>
      <c r="M37" s="40">
        <f t="shared" si="34"/>
        <v>273.22222222222223</v>
      </c>
      <c r="O37" s="10">
        <f t="shared" si="35"/>
        <v>9</v>
      </c>
      <c r="P37" s="10">
        <f t="shared" si="36"/>
        <v>-1</v>
      </c>
      <c r="Q37" s="10">
        <f t="shared" si="37"/>
        <v>0</v>
      </c>
      <c r="R37" s="9">
        <f t="shared" si="38"/>
        <v>0</v>
      </c>
      <c r="T37" s="5" t="s">
        <v>153</v>
      </c>
      <c r="U37" s="32">
        <v>2459</v>
      </c>
      <c r="V37" s="32">
        <v>12</v>
      </c>
      <c r="W37" s="32">
        <v>5</v>
      </c>
      <c r="X37" s="37">
        <v>6</v>
      </c>
      <c r="Y37" s="37">
        <v>67774</v>
      </c>
      <c r="Z37" s="37">
        <v>67000</v>
      </c>
      <c r="AA37" s="37">
        <v>28763</v>
      </c>
      <c r="AB37" s="37">
        <v>0</v>
      </c>
      <c r="AC37" s="37">
        <v>0</v>
      </c>
      <c r="AD37" s="37">
        <v>5360</v>
      </c>
      <c r="AE37" s="37">
        <v>24</v>
      </c>
      <c r="AF37" s="32">
        <v>1</v>
      </c>
      <c r="AG37" s="32">
        <v>0</v>
      </c>
      <c r="AH37" s="37">
        <v>9</v>
      </c>
      <c r="AI37" s="39">
        <f t="shared" si="39"/>
        <v>6.2500000000000003E-3</v>
      </c>
      <c r="AK37" s="9">
        <f t="shared" si="40"/>
        <v>1.3333333333333333</v>
      </c>
      <c r="AL37" s="9">
        <f t="shared" si="41"/>
        <v>0.55555555555555558</v>
      </c>
      <c r="AM37" s="6">
        <f t="shared" si="42"/>
        <v>0.66666666666666663</v>
      </c>
      <c r="AN37" s="8">
        <f t="shared" si="43"/>
        <v>0.98857969132705759</v>
      </c>
      <c r="AO37" s="8">
        <f t="shared" si="44"/>
        <v>1.1420308672942426E-2</v>
      </c>
      <c r="AP37" s="40">
        <f t="shared" si="45"/>
        <v>3195.8888888888887</v>
      </c>
      <c r="AQ37" s="40">
        <f t="shared" si="46"/>
        <v>2.6666666666666665</v>
      </c>
      <c r="AR37" s="40" t="str">
        <f t="shared" si="47"/>
        <v xml:space="preserve"> </v>
      </c>
      <c r="AS37" s="40"/>
      <c r="AT37" s="40">
        <f t="shared" si="48"/>
        <v>595.55555555555554</v>
      </c>
    </row>
    <row r="38" spans="1:46" ht="15" customHeight="1" x14ac:dyDescent="0.25">
      <c r="A38" s="6">
        <f t="shared" si="28"/>
        <v>1.3744262604922053E-10</v>
      </c>
      <c r="B38" s="7" t="s">
        <v>33</v>
      </c>
      <c r="C38" s="22" t="s">
        <v>39</v>
      </c>
      <c r="D38" s="13" t="str">
        <f t="shared" si="49"/>
        <v>Projectile Tracking Repeater</v>
      </c>
      <c r="E38" s="4" t="s">
        <v>65</v>
      </c>
      <c r="F38" s="12" t="s">
        <v>92</v>
      </c>
      <c r="H38" s="32">
        <f t="shared" si="29"/>
        <v>2</v>
      </c>
      <c r="I38" s="8">
        <f t="shared" si="30"/>
        <v>1</v>
      </c>
      <c r="J38" s="9">
        <f t="shared" si="31"/>
        <v>7.8571428571428568</v>
      </c>
      <c r="K38" s="40">
        <f t="shared" si="32"/>
        <v>8655.8125</v>
      </c>
      <c r="L38" s="40">
        <f t="shared" si="33"/>
        <v>1824.6875</v>
      </c>
      <c r="M38" s="40">
        <f t="shared" si="34"/>
        <v>485.6875</v>
      </c>
      <c r="O38" s="10">
        <f t="shared" si="35"/>
        <v>8</v>
      </c>
      <c r="P38" s="10">
        <f t="shared" si="36"/>
        <v>-2</v>
      </c>
      <c r="Q38" s="10">
        <f t="shared" si="37"/>
        <v>-34</v>
      </c>
      <c r="R38" s="9">
        <f t="shared" si="38"/>
        <v>0</v>
      </c>
      <c r="T38" s="5" t="s">
        <v>183</v>
      </c>
      <c r="U38" s="32">
        <v>7771</v>
      </c>
      <c r="V38" s="32">
        <v>36</v>
      </c>
      <c r="W38" s="32">
        <v>7</v>
      </c>
      <c r="X38" s="37">
        <v>38</v>
      </c>
      <c r="Y38" s="37">
        <v>138493</v>
      </c>
      <c r="Z38" s="37">
        <v>138493</v>
      </c>
      <c r="AA38" s="37">
        <v>75007</v>
      </c>
      <c r="AB38" s="37">
        <v>0</v>
      </c>
      <c r="AC38" s="37">
        <v>29195</v>
      </c>
      <c r="AD38" s="37">
        <v>20280</v>
      </c>
      <c r="AE38" s="37">
        <v>75</v>
      </c>
      <c r="AF38" s="32">
        <v>2</v>
      </c>
      <c r="AG38" s="32">
        <v>0</v>
      </c>
      <c r="AH38" s="37">
        <v>16</v>
      </c>
      <c r="AI38" s="39">
        <f t="shared" si="39"/>
        <v>1.1111111111111112E-2</v>
      </c>
      <c r="AK38" s="9">
        <f t="shared" si="40"/>
        <v>2.25</v>
      </c>
      <c r="AL38" s="9">
        <f t="shared" si="41"/>
        <v>0.4375</v>
      </c>
      <c r="AM38" s="6">
        <f t="shared" si="42"/>
        <v>2.375</v>
      </c>
      <c r="AN38" s="8">
        <f t="shared" si="43"/>
        <v>1</v>
      </c>
      <c r="AO38" s="8">
        <f t="shared" si="44"/>
        <v>0</v>
      </c>
      <c r="AP38" s="40">
        <f t="shared" si="45"/>
        <v>4687.9375</v>
      </c>
      <c r="AQ38" s="40">
        <f t="shared" si="46"/>
        <v>4.6875</v>
      </c>
      <c r="AR38" s="40" t="str">
        <f t="shared" si="47"/>
        <v xml:space="preserve"> </v>
      </c>
      <c r="AS38" s="40"/>
      <c r="AT38" s="40">
        <f t="shared" si="48"/>
        <v>3092.1875</v>
      </c>
    </row>
    <row r="39" spans="1:46" ht="15" customHeight="1" x14ac:dyDescent="0.25">
      <c r="A39" s="6">
        <f t="shared" si="28"/>
        <v>24.277653818198328</v>
      </c>
      <c r="B39" s="4" t="s">
        <v>50</v>
      </c>
      <c r="C39" s="22" t="s">
        <v>39</v>
      </c>
      <c r="D39" s="13" t="str">
        <f t="shared" si="49"/>
        <v>Hitscan Repeater</v>
      </c>
      <c r="E39" s="4" t="s">
        <v>64</v>
      </c>
      <c r="F39" s="4" t="s">
        <v>63</v>
      </c>
      <c r="H39" s="32">
        <f t="shared" si="29"/>
        <v>24</v>
      </c>
      <c r="I39" s="8">
        <f t="shared" si="30"/>
        <v>0.54166666666666663</v>
      </c>
      <c r="J39" s="9">
        <f t="shared" si="31"/>
        <v>2.5163043478260869</v>
      </c>
      <c r="K39" s="40">
        <f t="shared" si="32"/>
        <v>7275.5255102040819</v>
      </c>
      <c r="L39" s="40" t="str">
        <f t="shared" si="33"/>
        <v xml:space="preserve"> </v>
      </c>
      <c r="M39" s="40">
        <f t="shared" si="34"/>
        <v>420.91836734693879</v>
      </c>
      <c r="O39" s="10">
        <f t="shared" si="35"/>
        <v>13</v>
      </c>
      <c r="P39" s="10">
        <f t="shared" si="36"/>
        <v>13</v>
      </c>
      <c r="Q39" s="10">
        <f t="shared" si="37"/>
        <v>89</v>
      </c>
      <c r="R39" s="9">
        <f t="shared" si="38"/>
        <v>6.8461538461538458</v>
      </c>
      <c r="T39" s="5" t="s">
        <v>199</v>
      </c>
      <c r="U39" s="32">
        <v>82500</v>
      </c>
      <c r="V39" s="32">
        <v>380</v>
      </c>
      <c r="W39" s="32">
        <v>184</v>
      </c>
      <c r="X39" s="32">
        <v>166</v>
      </c>
      <c r="Y39" s="32">
        <v>1426003</v>
      </c>
      <c r="Z39" s="32">
        <v>1131129</v>
      </c>
      <c r="AA39" s="32">
        <v>766298</v>
      </c>
      <c r="AB39" s="32">
        <v>0</v>
      </c>
      <c r="AC39" s="32">
        <v>0</v>
      </c>
      <c r="AD39" s="32">
        <v>37836</v>
      </c>
      <c r="AE39" s="32">
        <v>196</v>
      </c>
      <c r="AF39" s="32">
        <v>13</v>
      </c>
      <c r="AG39" s="32">
        <v>11</v>
      </c>
      <c r="AH39" s="37">
        <v>196</v>
      </c>
      <c r="AI39" s="39">
        <f t="shared" si="39"/>
        <v>0.1361111111111111</v>
      </c>
      <c r="AK39" s="9">
        <f t="shared" si="40"/>
        <v>1.9387755102040816</v>
      </c>
      <c r="AL39" s="9">
        <f t="shared" si="41"/>
        <v>0.93877551020408168</v>
      </c>
      <c r="AM39" s="6">
        <f t="shared" si="42"/>
        <v>0.84693877551020413</v>
      </c>
      <c r="AN39" s="8">
        <f t="shared" si="43"/>
        <v>0.7932164238083651</v>
      </c>
      <c r="AO39" s="8">
        <f t="shared" si="44"/>
        <v>0.20678357619163493</v>
      </c>
      <c r="AP39" s="40">
        <f t="shared" si="45"/>
        <v>3909.6836734693879</v>
      </c>
      <c r="AQ39" s="40">
        <f t="shared" si="46"/>
        <v>1</v>
      </c>
      <c r="AR39" s="40" t="str">
        <f t="shared" si="47"/>
        <v xml:space="preserve"> </v>
      </c>
      <c r="AS39" s="40"/>
      <c r="AT39" s="40">
        <f t="shared" si="48"/>
        <v>193.0408163265306</v>
      </c>
    </row>
    <row r="40" spans="1:46" ht="15" customHeight="1" x14ac:dyDescent="0.25">
      <c r="A40" s="6" t="str">
        <f t="shared" si="28"/>
        <v xml:space="preserve"> </v>
      </c>
      <c r="B40" s="7" t="s">
        <v>35</v>
      </c>
      <c r="C40" s="22" t="s">
        <v>39</v>
      </c>
      <c r="D40" s="13" t="str">
        <f t="shared" si="49"/>
        <v>Hitscan Tracking</v>
      </c>
      <c r="E40" s="4" t="s">
        <v>64</v>
      </c>
      <c r="F40" s="4" t="s">
        <v>91</v>
      </c>
      <c r="H40" s="32" t="str">
        <f t="shared" si="29"/>
        <v xml:space="preserve"> </v>
      </c>
      <c r="I40" s="8" t="str">
        <f t="shared" si="30"/>
        <v/>
      </c>
      <c r="J40" s="9" t="str">
        <f t="shared" si="31"/>
        <v xml:space="preserve"> </v>
      </c>
      <c r="K40" s="40" t="str">
        <f t="shared" si="32"/>
        <v xml:space="preserve"> </v>
      </c>
      <c r="L40" s="40" t="str">
        <f t="shared" si="33"/>
        <v xml:space="preserve"> </v>
      </c>
      <c r="M40" s="40" t="str">
        <f t="shared" si="34"/>
        <v xml:space="preserve"> </v>
      </c>
      <c r="O40" s="10" t="str">
        <f t="shared" si="35"/>
        <v xml:space="preserve"> </v>
      </c>
      <c r="P40" s="10" t="str">
        <f t="shared" si="36"/>
        <v xml:space="preserve"> </v>
      </c>
      <c r="Q40" s="10" t="str">
        <f t="shared" si="37"/>
        <v xml:space="preserve"> </v>
      </c>
      <c r="R40" s="9" t="e">
        <f t="shared" si="38"/>
        <v>#VALUE!</v>
      </c>
      <c r="X40" s="37"/>
      <c r="Y40" s="37"/>
      <c r="Z40" s="37"/>
      <c r="AA40" s="37"/>
      <c r="AB40" s="37"/>
      <c r="AC40" s="37"/>
      <c r="AD40" s="37"/>
      <c r="AE40" s="37"/>
      <c r="AH40" s="37"/>
      <c r="AI40" s="39" t="str">
        <f t="shared" si="39"/>
        <v xml:space="preserve"> </v>
      </c>
      <c r="AK40" s="9" t="str">
        <f t="shared" si="40"/>
        <v xml:space="preserve"> </v>
      </c>
      <c r="AL40" s="9" t="str">
        <f t="shared" si="41"/>
        <v xml:space="preserve"> </v>
      </c>
      <c r="AM40" s="6" t="str">
        <f t="shared" si="42"/>
        <v xml:space="preserve"> </v>
      </c>
      <c r="AN40" s="8" t="str">
        <f t="shared" si="43"/>
        <v xml:space="preserve"> </v>
      </c>
      <c r="AO40" s="8" t="str">
        <f t="shared" si="44"/>
        <v xml:space="preserve"> </v>
      </c>
      <c r="AP40" s="40" t="str">
        <f t="shared" si="45"/>
        <v xml:space="preserve"> </v>
      </c>
      <c r="AQ40" s="40" t="str">
        <f t="shared" si="46"/>
        <v xml:space="preserve"> </v>
      </c>
      <c r="AR40" s="40" t="str">
        <f t="shared" si="47"/>
        <v xml:space="preserve"> </v>
      </c>
      <c r="AS40" s="40"/>
      <c r="AT40" s="40" t="str">
        <f t="shared" si="48"/>
        <v xml:space="preserve"> </v>
      </c>
    </row>
    <row r="41" spans="1:46" ht="15" customHeight="1" x14ac:dyDescent="0.25">
      <c r="A41" s="6" t="str">
        <f t="shared" si="28"/>
        <v xml:space="preserve"> </v>
      </c>
      <c r="B41" s="7" t="s">
        <v>120</v>
      </c>
      <c r="C41" s="22" t="s">
        <v>39</v>
      </c>
      <c r="D41" s="13" t="str">
        <f t="shared" si="49"/>
        <v>Projectile Tracking</v>
      </c>
      <c r="E41" s="4" t="s">
        <v>65</v>
      </c>
      <c r="F41" s="4" t="s">
        <v>91</v>
      </c>
      <c r="H41" s="32" t="str">
        <f t="shared" si="29"/>
        <v xml:space="preserve"> </v>
      </c>
      <c r="I41" s="8" t="str">
        <f t="shared" si="30"/>
        <v/>
      </c>
      <c r="J41" s="9" t="str">
        <f t="shared" si="31"/>
        <v xml:space="preserve"> </v>
      </c>
      <c r="K41" s="40" t="str">
        <f t="shared" si="32"/>
        <v xml:space="preserve"> </v>
      </c>
      <c r="L41" s="40" t="str">
        <f t="shared" si="33"/>
        <v xml:space="preserve"> </v>
      </c>
      <c r="M41" s="40" t="str">
        <f t="shared" si="34"/>
        <v xml:space="preserve"> </v>
      </c>
      <c r="O41" s="10" t="str">
        <f t="shared" si="35"/>
        <v xml:space="preserve"> </v>
      </c>
      <c r="P41" s="10" t="str">
        <f t="shared" si="36"/>
        <v xml:space="preserve"> </v>
      </c>
      <c r="Q41" s="10" t="str">
        <f t="shared" si="37"/>
        <v xml:space="preserve"> </v>
      </c>
      <c r="R41" s="9" t="e">
        <f t="shared" si="38"/>
        <v>#VALUE!</v>
      </c>
      <c r="X41" s="37"/>
      <c r="Y41" s="37"/>
      <c r="Z41" s="37"/>
      <c r="AA41" s="37"/>
      <c r="AB41" s="37"/>
      <c r="AC41" s="37"/>
      <c r="AD41" s="37"/>
      <c r="AE41" s="37"/>
      <c r="AH41" s="37"/>
      <c r="AI41" s="39" t="str">
        <f t="shared" si="39"/>
        <v xml:space="preserve"> </v>
      </c>
      <c r="AK41" s="9" t="str">
        <f t="shared" si="40"/>
        <v xml:space="preserve"> </v>
      </c>
      <c r="AL41" s="9" t="str">
        <f t="shared" si="41"/>
        <v xml:space="preserve"> </v>
      </c>
      <c r="AM41" s="6" t="str">
        <f t="shared" si="42"/>
        <v xml:space="preserve"> </v>
      </c>
      <c r="AN41" s="8" t="str">
        <f t="shared" si="43"/>
        <v xml:space="preserve"> </v>
      </c>
      <c r="AO41" s="8" t="str">
        <f t="shared" si="44"/>
        <v xml:space="preserve"> </v>
      </c>
      <c r="AP41" s="40" t="str">
        <f t="shared" si="45"/>
        <v xml:space="preserve"> </v>
      </c>
      <c r="AQ41" s="40" t="str">
        <f t="shared" si="46"/>
        <v xml:space="preserve"> </v>
      </c>
      <c r="AR41" s="40" t="str">
        <f t="shared" si="47"/>
        <v xml:space="preserve"> </v>
      </c>
      <c r="AS41" s="40"/>
      <c r="AT41" s="40" t="str">
        <f t="shared" si="48"/>
        <v xml:space="preserve"> </v>
      </c>
    </row>
    <row r="42" spans="1:46" ht="15" customHeight="1" x14ac:dyDescent="0.25">
      <c r="A42" s="6">
        <f t="shared" si="28"/>
        <v>0</v>
      </c>
      <c r="B42" s="7" t="s">
        <v>105</v>
      </c>
      <c r="C42" s="22" t="s">
        <v>39</v>
      </c>
      <c r="D42" s="13" t="str">
        <f t="shared" si="49"/>
        <v>Projectile Repeater</v>
      </c>
      <c r="E42" s="4" t="s">
        <v>65</v>
      </c>
      <c r="F42" s="4" t="s">
        <v>63</v>
      </c>
      <c r="H42" s="32">
        <f t="shared" si="29"/>
        <v>1</v>
      </c>
      <c r="I42" s="8">
        <f t="shared" si="30"/>
        <v>0</v>
      </c>
      <c r="J42" s="9">
        <f t="shared" si="31"/>
        <v>0.66666666666666663</v>
      </c>
      <c r="K42" s="40">
        <f t="shared" si="32"/>
        <v>5168.5</v>
      </c>
      <c r="L42" s="40" t="str">
        <f t="shared" si="33"/>
        <v xml:space="preserve"> </v>
      </c>
      <c r="M42" s="40">
        <f t="shared" si="34"/>
        <v>207.66666666666666</v>
      </c>
      <c r="O42" s="10">
        <f t="shared" si="35"/>
        <v>9</v>
      </c>
      <c r="P42" s="10">
        <f t="shared" si="36"/>
        <v>3</v>
      </c>
      <c r="Q42" s="10">
        <f t="shared" si="37"/>
        <v>14</v>
      </c>
      <c r="R42" s="9">
        <f t="shared" si="38"/>
        <v>1.5555555555555556</v>
      </c>
      <c r="T42" s="5" t="s">
        <v>146</v>
      </c>
      <c r="U42" s="32">
        <v>1246</v>
      </c>
      <c r="V42" s="32">
        <v>3</v>
      </c>
      <c r="W42" s="32">
        <v>6</v>
      </c>
      <c r="X42" s="37">
        <v>2</v>
      </c>
      <c r="Y42" s="37">
        <v>31011</v>
      </c>
      <c r="Z42" s="37">
        <v>24717</v>
      </c>
      <c r="AA42" s="37">
        <v>26884</v>
      </c>
      <c r="AB42" s="37">
        <v>0</v>
      </c>
      <c r="AC42" s="37">
        <v>0</v>
      </c>
      <c r="AD42" s="37">
        <v>2559</v>
      </c>
      <c r="AE42" s="37">
        <v>0</v>
      </c>
      <c r="AF42" s="32">
        <v>0</v>
      </c>
      <c r="AG42" s="32">
        <v>1</v>
      </c>
      <c r="AH42" s="37">
        <v>6</v>
      </c>
      <c r="AI42" s="39">
        <f t="shared" si="39"/>
        <v>4.1666666666666666E-3</v>
      </c>
      <c r="AK42" s="9">
        <f t="shared" si="40"/>
        <v>0.5</v>
      </c>
      <c r="AL42" s="9">
        <f t="shared" si="41"/>
        <v>1</v>
      </c>
      <c r="AM42" s="6">
        <f t="shared" si="42"/>
        <v>0.33333333333333331</v>
      </c>
      <c r="AN42" s="8">
        <f t="shared" si="43"/>
        <v>0.79703976008513111</v>
      </c>
      <c r="AO42" s="8">
        <f t="shared" si="44"/>
        <v>0.20296023991486892</v>
      </c>
      <c r="AP42" s="40">
        <f t="shared" si="45"/>
        <v>4480.666666666667</v>
      </c>
      <c r="AQ42" s="40" t="str">
        <f t="shared" si="46"/>
        <v xml:space="preserve"> </v>
      </c>
      <c r="AR42" s="40" t="str">
        <f t="shared" si="47"/>
        <v xml:space="preserve"> </v>
      </c>
      <c r="AS42" s="40"/>
      <c r="AT42" s="40">
        <f t="shared" si="48"/>
        <v>426.5</v>
      </c>
    </row>
    <row r="43" spans="1:46" ht="15" customHeight="1" x14ac:dyDescent="0.25">
      <c r="A43" s="6">
        <f t="shared" si="28"/>
        <v>41.380541398161718</v>
      </c>
      <c r="B43" s="7" t="s">
        <v>1</v>
      </c>
      <c r="C43" s="22" t="s">
        <v>37</v>
      </c>
      <c r="D43" s="13" t="str">
        <f t="shared" si="49"/>
        <v>Projectile Arc</v>
      </c>
      <c r="E43" s="4" t="s">
        <v>65</v>
      </c>
      <c r="F43" s="4" t="s">
        <v>66</v>
      </c>
      <c r="H43" s="32">
        <f t="shared" si="29"/>
        <v>28</v>
      </c>
      <c r="I43" s="8">
        <f t="shared" si="30"/>
        <v>0.7142857142857143</v>
      </c>
      <c r="J43" s="9">
        <f t="shared" si="31"/>
        <v>3.8025477707006368</v>
      </c>
      <c r="K43" s="40">
        <f t="shared" si="32"/>
        <v>5859.8950437317781</v>
      </c>
      <c r="L43" s="40" t="str">
        <f t="shared" si="33"/>
        <v xml:space="preserve"> </v>
      </c>
      <c r="M43" s="40">
        <f t="shared" si="34"/>
        <v>291.8746355685131</v>
      </c>
      <c r="O43" s="10">
        <f t="shared" si="35"/>
        <v>-1</v>
      </c>
      <c r="P43" s="10">
        <f t="shared" si="36"/>
        <v>-1</v>
      </c>
      <c r="Q43" s="10">
        <f t="shared" si="37"/>
        <v>-126</v>
      </c>
      <c r="R43" s="9">
        <f t="shared" si="38"/>
        <v>0</v>
      </c>
      <c r="T43" s="5" t="s">
        <v>160</v>
      </c>
      <c r="U43" s="32">
        <v>100113</v>
      </c>
      <c r="V43" s="32">
        <v>384</v>
      </c>
      <c r="W43" s="32">
        <v>157</v>
      </c>
      <c r="X43" s="37">
        <v>426</v>
      </c>
      <c r="Y43" s="37">
        <v>2009944</v>
      </c>
      <c r="Z43" s="37">
        <v>1960567</v>
      </c>
      <c r="AA43" s="37">
        <v>3234489</v>
      </c>
      <c r="AB43" s="37">
        <v>1100412</v>
      </c>
      <c r="AC43" s="37">
        <v>0</v>
      </c>
      <c r="AD43" s="37">
        <v>110959</v>
      </c>
      <c r="AE43" s="37">
        <v>556</v>
      </c>
      <c r="AF43" s="32">
        <v>20</v>
      </c>
      <c r="AG43" s="32">
        <v>8</v>
      </c>
      <c r="AH43" s="37">
        <v>343</v>
      </c>
      <c r="AI43" s="39">
        <f t="shared" si="39"/>
        <v>0.23819444444444443</v>
      </c>
      <c r="AK43" s="9">
        <f t="shared" si="40"/>
        <v>1.119533527696793</v>
      </c>
      <c r="AL43" s="9">
        <f t="shared" si="41"/>
        <v>0.45772594752186591</v>
      </c>
      <c r="AM43" s="6">
        <f t="shared" si="42"/>
        <v>1.2419825072886297</v>
      </c>
      <c r="AN43" s="8">
        <f t="shared" si="43"/>
        <v>0.97543364392241771</v>
      </c>
      <c r="AO43" s="8">
        <f t="shared" si="44"/>
        <v>2.4566356077582261E-2</v>
      </c>
      <c r="AP43" s="40">
        <f t="shared" si="45"/>
        <v>9429.9970845481057</v>
      </c>
      <c r="AQ43" s="40">
        <f t="shared" si="46"/>
        <v>1.620991253644315</v>
      </c>
      <c r="AR43" s="40">
        <f t="shared" si="47"/>
        <v>3208.1982507288631</v>
      </c>
      <c r="AS43" s="40"/>
      <c r="AT43" s="40">
        <f t="shared" si="48"/>
        <v>323.49562682215742</v>
      </c>
    </row>
    <row r="44" spans="1:46" ht="15" customHeight="1" x14ac:dyDescent="0.25">
      <c r="A44" s="6">
        <f t="shared" si="28"/>
        <v>4.5804094160326132</v>
      </c>
      <c r="B44" s="7" t="s">
        <v>3</v>
      </c>
      <c r="C44" s="22" t="s">
        <v>37</v>
      </c>
      <c r="D44" s="13" t="str">
        <f t="shared" si="49"/>
        <v>Hitscan Tracking</v>
      </c>
      <c r="E44" s="4" t="s">
        <v>64</v>
      </c>
      <c r="F44" s="4" t="s">
        <v>91</v>
      </c>
      <c r="H44" s="32">
        <f t="shared" si="29"/>
        <v>14</v>
      </c>
      <c r="I44" s="8">
        <f t="shared" si="30"/>
        <v>0.6428571428571429</v>
      </c>
      <c r="J44" s="9">
        <f t="shared" si="31"/>
        <v>3.446236559139785</v>
      </c>
      <c r="K44" s="40">
        <f t="shared" si="32"/>
        <v>6627.8908045977014</v>
      </c>
      <c r="L44" s="40" t="str">
        <f t="shared" si="33"/>
        <v xml:space="preserve"> </v>
      </c>
      <c r="M44" s="40">
        <f t="shared" si="34"/>
        <v>288.36206896551727</v>
      </c>
      <c r="O44" s="10">
        <f t="shared" si="35"/>
        <v>3</v>
      </c>
      <c r="P44" s="10">
        <f t="shared" si="36"/>
        <v>3</v>
      </c>
      <c r="Q44" s="10">
        <f t="shared" si="37"/>
        <v>-41</v>
      </c>
      <c r="R44" s="9">
        <f t="shared" si="38"/>
        <v>0</v>
      </c>
      <c r="T44" s="5" t="s">
        <v>161</v>
      </c>
      <c r="U44" s="32">
        <v>50175</v>
      </c>
      <c r="V44" s="32">
        <v>208</v>
      </c>
      <c r="W44" s="32">
        <v>93</v>
      </c>
      <c r="X44" s="37">
        <v>225</v>
      </c>
      <c r="Y44" s="37">
        <v>1153253</v>
      </c>
      <c r="Z44" s="37">
        <v>846177</v>
      </c>
      <c r="AA44" s="37">
        <v>1003518</v>
      </c>
      <c r="AB44" s="37">
        <v>411117</v>
      </c>
      <c r="AC44" s="37">
        <v>0</v>
      </c>
      <c r="AD44" s="37">
        <v>52399</v>
      </c>
      <c r="AE44" s="37">
        <v>394</v>
      </c>
      <c r="AF44" s="32">
        <v>9</v>
      </c>
      <c r="AG44" s="32">
        <v>5</v>
      </c>
      <c r="AH44" s="37">
        <v>174</v>
      </c>
      <c r="AI44" s="39">
        <f t="shared" si="39"/>
        <v>0.12083333333333333</v>
      </c>
      <c r="AK44" s="9">
        <f t="shared" si="40"/>
        <v>1.1954022988505748</v>
      </c>
      <c r="AL44" s="9">
        <f t="shared" si="41"/>
        <v>0.53448275862068961</v>
      </c>
      <c r="AM44" s="6">
        <f t="shared" si="42"/>
        <v>1.2931034482758621</v>
      </c>
      <c r="AN44" s="8">
        <f t="shared" si="43"/>
        <v>0.73373058643680089</v>
      </c>
      <c r="AO44" s="8">
        <f t="shared" si="44"/>
        <v>0.26626941356319905</v>
      </c>
      <c r="AP44" s="40">
        <f t="shared" si="45"/>
        <v>5767.3448275862065</v>
      </c>
      <c r="AQ44" s="40">
        <f t="shared" si="46"/>
        <v>2.264367816091954</v>
      </c>
      <c r="AR44" s="40">
        <f t="shared" si="47"/>
        <v>2362.7413793103447</v>
      </c>
      <c r="AS44" s="40"/>
      <c r="AT44" s="40">
        <f t="shared" si="48"/>
        <v>301.14367816091954</v>
      </c>
    </row>
    <row r="45" spans="1:46" ht="15" customHeight="1" x14ac:dyDescent="0.25">
      <c r="A45" s="6">
        <f t="shared" si="28"/>
        <v>0.27773518928677782</v>
      </c>
      <c r="B45" s="7" t="s">
        <v>0</v>
      </c>
      <c r="C45" s="22" t="s">
        <v>37</v>
      </c>
      <c r="D45" s="13" t="str">
        <f t="shared" si="49"/>
        <v>Projectile Tracking</v>
      </c>
      <c r="E45" s="4" t="s">
        <v>65</v>
      </c>
      <c r="F45" s="4" t="s">
        <v>91</v>
      </c>
      <c r="H45" s="32">
        <f t="shared" si="29"/>
        <v>10</v>
      </c>
      <c r="I45" s="8">
        <f t="shared" si="30"/>
        <v>0.6</v>
      </c>
      <c r="J45" s="9">
        <f t="shared" si="31"/>
        <v>2.2945205479452055</v>
      </c>
      <c r="K45" s="40">
        <f t="shared" si="32"/>
        <v>4549.021739130435</v>
      </c>
      <c r="L45" s="40" t="str">
        <f t="shared" si="33"/>
        <v xml:space="preserve"> </v>
      </c>
      <c r="M45" s="40">
        <f t="shared" si="34"/>
        <v>258.22463768115944</v>
      </c>
      <c r="O45" s="10">
        <f t="shared" si="35"/>
        <v>4</v>
      </c>
      <c r="P45" s="10">
        <f t="shared" si="36"/>
        <v>4</v>
      </c>
      <c r="Q45" s="10">
        <f t="shared" si="37"/>
        <v>52</v>
      </c>
      <c r="R45" s="9">
        <f t="shared" si="38"/>
        <v>13</v>
      </c>
      <c r="T45" s="5" t="s">
        <v>157</v>
      </c>
      <c r="U45" s="32">
        <v>35635</v>
      </c>
      <c r="V45" s="32">
        <v>87</v>
      </c>
      <c r="W45" s="32">
        <v>73</v>
      </c>
      <c r="X45" s="37">
        <v>161</v>
      </c>
      <c r="Y45" s="37">
        <v>627765</v>
      </c>
      <c r="Z45" s="37">
        <v>317194</v>
      </c>
      <c r="AA45" s="37">
        <v>890389</v>
      </c>
      <c r="AB45" s="37">
        <v>682216</v>
      </c>
      <c r="AC45" s="37">
        <v>0</v>
      </c>
      <c r="AD45" s="37">
        <v>19368</v>
      </c>
      <c r="AE45" s="37">
        <v>786</v>
      </c>
      <c r="AF45" s="32">
        <v>6</v>
      </c>
      <c r="AG45" s="32">
        <v>4</v>
      </c>
      <c r="AH45" s="37">
        <v>138</v>
      </c>
      <c r="AI45" s="39">
        <f t="shared" si="39"/>
        <v>9.583333333333334E-2</v>
      </c>
      <c r="AK45" s="9">
        <f t="shared" si="40"/>
        <v>0.63043478260869568</v>
      </c>
      <c r="AL45" s="9">
        <f t="shared" si="41"/>
        <v>0.52898550724637683</v>
      </c>
      <c r="AM45" s="6">
        <f t="shared" si="42"/>
        <v>1.1666666666666667</v>
      </c>
      <c r="AN45" s="8">
        <f t="shared" si="43"/>
        <v>0.50527506312075376</v>
      </c>
      <c r="AO45" s="8">
        <f t="shared" si="44"/>
        <v>0.49472493687924624</v>
      </c>
      <c r="AP45" s="40">
        <f t="shared" si="45"/>
        <v>6452.094202898551</v>
      </c>
      <c r="AQ45" s="40">
        <f t="shared" si="46"/>
        <v>5.6956521739130439</v>
      </c>
      <c r="AR45" s="40">
        <f t="shared" si="47"/>
        <v>4943.594202898551</v>
      </c>
      <c r="AS45" s="40"/>
      <c r="AT45" s="40">
        <f t="shared" si="48"/>
        <v>140.34782608695653</v>
      </c>
    </row>
    <row r="46" spans="1:46" ht="15" customHeight="1" x14ac:dyDescent="0.25">
      <c r="A46" s="6">
        <f t="shared" si="28"/>
        <v>1.2514641664623235E-7</v>
      </c>
      <c r="B46" s="7" t="s">
        <v>48</v>
      </c>
      <c r="C46" s="24" t="s">
        <v>37</v>
      </c>
      <c r="D46" s="13" t="str">
        <f t="shared" si="49"/>
        <v>Hitscan Charge</v>
      </c>
      <c r="E46" s="4" t="s">
        <v>64</v>
      </c>
      <c r="F46" s="4" t="s">
        <v>62</v>
      </c>
      <c r="H46" s="32">
        <f t="shared" si="29"/>
        <v>3</v>
      </c>
      <c r="I46" s="8">
        <f t="shared" si="30"/>
        <v>0.33333333333333331</v>
      </c>
      <c r="J46" s="9">
        <f t="shared" si="31"/>
        <v>2.8611111111111112</v>
      </c>
      <c r="K46" s="40">
        <f t="shared" si="32"/>
        <v>7533.4827586206893</v>
      </c>
      <c r="L46" s="40" t="str">
        <f t="shared" si="33"/>
        <v xml:space="preserve"> </v>
      </c>
      <c r="M46" s="40">
        <f t="shared" si="34"/>
        <v>364.06896551724139</v>
      </c>
      <c r="O46" s="10">
        <f t="shared" si="35"/>
        <v>7</v>
      </c>
      <c r="P46" s="10">
        <f t="shared" si="36"/>
        <v>4</v>
      </c>
      <c r="Q46" s="10">
        <f t="shared" si="37"/>
        <v>3</v>
      </c>
      <c r="R46" s="9">
        <f t="shared" si="38"/>
        <v>0.42857142857142855</v>
      </c>
      <c r="T46" s="5" t="s">
        <v>131</v>
      </c>
      <c r="U46" s="32">
        <v>10558</v>
      </c>
      <c r="V46" s="32">
        <v>36</v>
      </c>
      <c r="W46" s="32">
        <v>18</v>
      </c>
      <c r="X46" s="37">
        <v>31</v>
      </c>
      <c r="Y46" s="37">
        <v>218471</v>
      </c>
      <c r="Z46" s="37">
        <v>209412</v>
      </c>
      <c r="AA46" s="37">
        <v>251977</v>
      </c>
      <c r="AB46" s="37">
        <v>0</v>
      </c>
      <c r="AC46" s="37">
        <v>0</v>
      </c>
      <c r="AD46" s="37">
        <v>12919</v>
      </c>
      <c r="AE46" s="37">
        <v>138</v>
      </c>
      <c r="AF46" s="32">
        <v>1</v>
      </c>
      <c r="AG46" s="32">
        <v>2</v>
      </c>
      <c r="AH46" s="37">
        <v>29</v>
      </c>
      <c r="AI46" s="39">
        <f t="shared" si="39"/>
        <v>2.013888888888889E-2</v>
      </c>
      <c r="AK46" s="9">
        <f t="shared" si="40"/>
        <v>1.2413793103448276</v>
      </c>
      <c r="AL46" s="9">
        <f t="shared" si="41"/>
        <v>0.62068965517241381</v>
      </c>
      <c r="AM46" s="6">
        <f t="shared" si="42"/>
        <v>1.0689655172413792</v>
      </c>
      <c r="AN46" s="8">
        <f t="shared" si="43"/>
        <v>0.95853454234200419</v>
      </c>
      <c r="AO46" s="8">
        <f t="shared" si="44"/>
        <v>4.1465457657995801E-2</v>
      </c>
      <c r="AP46" s="40">
        <f t="shared" si="45"/>
        <v>8688.8620689655181</v>
      </c>
      <c r="AQ46" s="40">
        <f t="shared" si="46"/>
        <v>4.7586206896551726</v>
      </c>
      <c r="AR46" s="40" t="str">
        <f t="shared" si="47"/>
        <v xml:space="preserve"> </v>
      </c>
      <c r="AS46" s="40"/>
      <c r="AT46" s="40">
        <f t="shared" si="48"/>
        <v>445.48275862068965</v>
      </c>
    </row>
    <row r="47" spans="1:46" ht="15" customHeight="1" x14ac:dyDescent="0.25">
      <c r="A47" s="6">
        <f t="shared" si="28"/>
        <v>0.15857649461827031</v>
      </c>
      <c r="B47" s="7" t="s">
        <v>5</v>
      </c>
      <c r="C47" s="22" t="s">
        <v>37</v>
      </c>
      <c r="D47" s="13" t="str">
        <f t="shared" si="49"/>
        <v>Hitscan Projectile Repeater</v>
      </c>
      <c r="E47" s="12" t="s">
        <v>90</v>
      </c>
      <c r="F47" s="4" t="s">
        <v>63</v>
      </c>
      <c r="H47" s="32">
        <f t="shared" si="29"/>
        <v>9</v>
      </c>
      <c r="I47" s="8">
        <f t="shared" si="30"/>
        <v>0.44444444444444442</v>
      </c>
      <c r="J47" s="9">
        <f t="shared" si="31"/>
        <v>3.2682926829268291</v>
      </c>
      <c r="K47" s="40">
        <f t="shared" si="32"/>
        <v>6520.945652173913</v>
      </c>
      <c r="L47" s="40" t="str">
        <f t="shared" si="33"/>
        <v xml:space="preserve"> </v>
      </c>
      <c r="M47" s="40">
        <f t="shared" si="34"/>
        <v>330.39130434782606</v>
      </c>
      <c r="O47" s="10">
        <f t="shared" si="35"/>
        <v>8</v>
      </c>
      <c r="P47" s="10">
        <f t="shared" si="36"/>
        <v>8</v>
      </c>
      <c r="Q47" s="10">
        <f t="shared" si="37"/>
        <v>-11</v>
      </c>
      <c r="R47" s="9">
        <f t="shared" si="38"/>
        <v>0</v>
      </c>
      <c r="T47" s="5" t="s">
        <v>156</v>
      </c>
      <c r="U47" s="32">
        <v>30396</v>
      </c>
      <c r="V47" s="32">
        <v>66</v>
      </c>
      <c r="W47" s="32">
        <v>41</v>
      </c>
      <c r="X47" s="37">
        <v>136</v>
      </c>
      <c r="Y47" s="37">
        <v>599927</v>
      </c>
      <c r="Z47" s="37">
        <v>599927</v>
      </c>
      <c r="AA47" s="37">
        <v>523942</v>
      </c>
      <c r="AB47" s="37">
        <v>557052</v>
      </c>
      <c r="AC47" s="37">
        <v>0</v>
      </c>
      <c r="AD47" s="37">
        <v>38827</v>
      </c>
      <c r="AE47" s="37">
        <v>1362</v>
      </c>
      <c r="AF47" s="32">
        <v>4</v>
      </c>
      <c r="AG47" s="32">
        <v>5</v>
      </c>
      <c r="AH47" s="37">
        <v>92</v>
      </c>
      <c r="AI47" s="39">
        <f t="shared" si="39"/>
        <v>6.3888888888888884E-2</v>
      </c>
      <c r="AK47" s="9">
        <f t="shared" si="40"/>
        <v>0.71739130434782605</v>
      </c>
      <c r="AL47" s="9">
        <f t="shared" si="41"/>
        <v>0.44565217391304346</v>
      </c>
      <c r="AM47" s="6">
        <f t="shared" si="42"/>
        <v>1.4782608695652173</v>
      </c>
      <c r="AN47" s="8">
        <f t="shared" si="43"/>
        <v>1</v>
      </c>
      <c r="AO47" s="8">
        <f t="shared" si="44"/>
        <v>0</v>
      </c>
      <c r="AP47" s="40">
        <f t="shared" si="45"/>
        <v>5695.021739130435</v>
      </c>
      <c r="AQ47" s="40">
        <f t="shared" si="46"/>
        <v>14.804347826086957</v>
      </c>
      <c r="AR47" s="40">
        <f t="shared" si="47"/>
        <v>6054.913043478261</v>
      </c>
      <c r="AS47" s="40"/>
      <c r="AT47" s="40">
        <f t="shared" si="48"/>
        <v>422.03260869565219</v>
      </c>
    </row>
    <row r="48" spans="1:46" ht="15" customHeight="1" x14ac:dyDescent="0.25">
      <c r="A48" s="6">
        <f t="shared" ref="A48:A64" si="50">IF(H48=" "," ",(((M48*LOG(H48)^10)/(LOG(H48)^10+9))*(((J48*I48*LOG(H48)^10)/(LOG(H48)^10+9))/(12.8))))</f>
        <v>1.2486675971477974</v>
      </c>
      <c r="B48" s="7" t="s">
        <v>15</v>
      </c>
      <c r="C48" s="22" t="s">
        <v>37</v>
      </c>
      <c r="D48" s="13" t="str">
        <f t="shared" si="49"/>
        <v>Hitscan Tracking</v>
      </c>
      <c r="E48" s="4" t="s">
        <v>64</v>
      </c>
      <c r="F48" s="4" t="s">
        <v>91</v>
      </c>
      <c r="H48" s="32">
        <f t="shared" ref="H48:H64" si="51">IF(ISBLANK(AF48)," ",AF48+AG48)</f>
        <v>12</v>
      </c>
      <c r="I48" s="8">
        <f t="shared" ref="I48:I64" si="52">IF(ISBLANK(AF48),"",AF48/(AF48+AG48))</f>
        <v>0.5</v>
      </c>
      <c r="J48" s="9">
        <f t="shared" ref="J48:J64" si="53">IF(ISBLANK(V48)," ",(V48+X48/2)/W48)</f>
        <v>2.8671875</v>
      </c>
      <c r="K48" s="40">
        <f t="shared" ref="K48:K64" si="54">IF(Y48&gt;0,Y48/AH48," ")</f>
        <v>5009.6446280991731</v>
      </c>
      <c r="L48" s="40">
        <f t="shared" ref="L48:L64" si="55">IF(AC48&gt;0,(AC48)/AH48," ")</f>
        <v>512.7355371900826</v>
      </c>
      <c r="M48" s="40">
        <f t="shared" ref="M48:M64" si="56">IF(U48&gt;0,U48/AH48," ")</f>
        <v>301.52066115702479</v>
      </c>
      <c r="O48" s="10">
        <f t="shared" ref="O48:O64" si="57">IF(ISBLANK(AF48)," ",IF((P48+H48)&lt;=SUMIF($C$2:$C$6,C48,$F$2:$F$6),SUMIF($C$2:$C$6,C48,$F$2:$F$6)-H48,P48))</f>
        <v>8</v>
      </c>
      <c r="P48" s="10">
        <f t="shared" ref="P48:P64" si="58">IF(ISBLANK(AF48)," ",_xlfn.CEILING.MATH(((SUMIF($C$2:$C$6,C48,$D$2:$D$6)-1)*AF48+SUMIF($C$2:$C$6,C48,$D$2:$D$6)*AG48)/(1-SUMIF($C$2:$C$6,C48,$D$2:$D$6))))</f>
        <v>8</v>
      </c>
      <c r="Q48" s="10">
        <f t="shared" ref="Q48:Q64" si="59">IF(ISBLANK(V48)," ",_xlfn.CEILING.MATH(SUMIF($C$2:$C$6,C48,$E$2:$E$6)*W48-V48-X48/2))</f>
        <v>9</v>
      </c>
      <c r="R48" s="9">
        <f t="shared" ref="R48:R64" si="60">IF(AND(O48&gt;0,Q48&gt;0),Q48/O48,(IF(AND(O48&lt;=0,Q48&gt;0),Q48,0)))</f>
        <v>1.125</v>
      </c>
      <c r="T48" s="5" t="s">
        <v>159</v>
      </c>
      <c r="U48" s="32">
        <v>36484</v>
      </c>
      <c r="V48" s="32">
        <v>106</v>
      </c>
      <c r="W48" s="32">
        <v>64</v>
      </c>
      <c r="X48" s="37">
        <v>155</v>
      </c>
      <c r="Y48" s="37">
        <v>606167</v>
      </c>
      <c r="Z48" s="37">
        <v>564247</v>
      </c>
      <c r="AA48" s="37">
        <v>912578</v>
      </c>
      <c r="AB48" s="37">
        <v>307313</v>
      </c>
      <c r="AC48" s="37">
        <v>62041</v>
      </c>
      <c r="AD48" s="37">
        <v>103646</v>
      </c>
      <c r="AE48" s="37">
        <v>703</v>
      </c>
      <c r="AF48" s="32">
        <v>6</v>
      </c>
      <c r="AG48" s="32">
        <v>6</v>
      </c>
      <c r="AH48" s="37">
        <v>121</v>
      </c>
      <c r="AI48" s="39">
        <f t="shared" ref="AI48:AI64" si="61">IF(AH48&gt;0,AH48/1440," ")</f>
        <v>8.4027777777777785E-2</v>
      </c>
      <c r="AK48" s="9">
        <f t="shared" ref="AK48:AK64" si="62">IF(V48&gt;0,V48/AH48," ")</f>
        <v>0.87603305785123964</v>
      </c>
      <c r="AL48" s="9">
        <f t="shared" ref="AL48:AL64" si="63">IF(W48&gt;0,W48/AH48," ")</f>
        <v>0.52892561983471076</v>
      </c>
      <c r="AM48" s="6">
        <f t="shared" ref="AM48:AM64" si="64">IF(X48&gt;0,X48/AH48," ")</f>
        <v>1.28099173553719</v>
      </c>
      <c r="AN48" s="8">
        <f t="shared" ref="AN48:AN64" si="65">IF(Y48&gt;0,Z48/Y48," ")</f>
        <v>0.93084414031116836</v>
      </c>
      <c r="AO48" s="8">
        <f t="shared" ref="AO48:AO64" si="66">IF(Y48&gt;0,(Y48-Z48)/Y48," ")</f>
        <v>6.9155859688831631E-2</v>
      </c>
      <c r="AP48" s="40">
        <f t="shared" ref="AP48:AP64" si="67">IF(AA48&gt;0,AA48/AH48," ")</f>
        <v>7541.9669421487606</v>
      </c>
      <c r="AQ48" s="40">
        <f t="shared" ref="AQ48:AQ64" si="68">IF(AE48&gt;0,AE48/AH48," ")</f>
        <v>5.8099173553719012</v>
      </c>
      <c r="AR48" s="40">
        <f t="shared" ref="AR48:AR64" si="69">IF(AB48&gt;0,AB48/AH48," ")</f>
        <v>2539.7768595041321</v>
      </c>
      <c r="AS48" s="40"/>
      <c r="AT48" s="40">
        <f t="shared" ref="AT48:AT64" si="70">IF(ISBLANK(AH48)," ",(AC48+AD48)/AH48)</f>
        <v>1369.3140495867769</v>
      </c>
    </row>
    <row r="49" spans="1:46" ht="15" customHeight="1" x14ac:dyDescent="0.25">
      <c r="A49" s="6">
        <f t="shared" si="50"/>
        <v>0.43318660496235473</v>
      </c>
      <c r="B49" s="7" t="s">
        <v>2</v>
      </c>
      <c r="C49" s="22" t="s">
        <v>37</v>
      </c>
      <c r="D49" s="13" t="str">
        <f t="shared" si="49"/>
        <v>Projectile Tracking</v>
      </c>
      <c r="E49" s="4" t="s">
        <v>65</v>
      </c>
      <c r="F49" s="4" t="s">
        <v>91</v>
      </c>
      <c r="H49" s="32">
        <f t="shared" si="51"/>
        <v>11</v>
      </c>
      <c r="I49" s="8">
        <f t="shared" si="52"/>
        <v>0.45454545454545453</v>
      </c>
      <c r="J49" s="9">
        <f t="shared" si="53"/>
        <v>2.3580246913580245</v>
      </c>
      <c r="K49" s="40">
        <f t="shared" si="54"/>
        <v>5362.7835820895525</v>
      </c>
      <c r="L49" s="40" t="str">
        <f t="shared" si="55"/>
        <v xml:space="preserve"> </v>
      </c>
      <c r="M49" s="40">
        <f t="shared" si="56"/>
        <v>253.43283582089552</v>
      </c>
      <c r="O49" s="10">
        <f t="shared" si="57"/>
        <v>9</v>
      </c>
      <c r="P49" s="10">
        <f t="shared" si="58"/>
        <v>9</v>
      </c>
      <c r="Q49" s="10">
        <f t="shared" si="59"/>
        <v>52</v>
      </c>
      <c r="R49" s="9">
        <f t="shared" si="60"/>
        <v>5.7777777777777777</v>
      </c>
      <c r="T49" s="5" t="s">
        <v>158</v>
      </c>
      <c r="U49" s="32">
        <v>33960</v>
      </c>
      <c r="V49" s="32">
        <v>100</v>
      </c>
      <c r="W49" s="32">
        <v>81</v>
      </c>
      <c r="X49" s="37">
        <v>182</v>
      </c>
      <c r="Y49" s="37">
        <v>718613</v>
      </c>
      <c r="Z49" s="37">
        <v>569251</v>
      </c>
      <c r="AA49" s="37">
        <v>1031025</v>
      </c>
      <c r="AB49" s="37">
        <v>202756</v>
      </c>
      <c r="AC49" s="37">
        <v>0</v>
      </c>
      <c r="AD49" s="37">
        <v>0</v>
      </c>
      <c r="AE49" s="37">
        <v>0</v>
      </c>
      <c r="AF49" s="32">
        <v>5</v>
      </c>
      <c r="AG49" s="32">
        <v>6</v>
      </c>
      <c r="AH49" s="37">
        <v>134</v>
      </c>
      <c r="AI49" s="39">
        <f t="shared" si="61"/>
        <v>9.3055555555555558E-2</v>
      </c>
      <c r="AK49" s="9">
        <f t="shared" si="62"/>
        <v>0.74626865671641796</v>
      </c>
      <c r="AL49" s="9">
        <f t="shared" si="63"/>
        <v>0.60447761194029848</v>
      </c>
      <c r="AM49" s="6">
        <f t="shared" si="64"/>
        <v>1.3582089552238805</v>
      </c>
      <c r="AN49" s="8">
        <f t="shared" si="65"/>
        <v>0.79215238243672181</v>
      </c>
      <c r="AO49" s="8">
        <f t="shared" si="66"/>
        <v>0.20784761756327816</v>
      </c>
      <c r="AP49" s="40">
        <f t="shared" si="67"/>
        <v>7694.2164179104475</v>
      </c>
      <c r="AQ49" s="40" t="str">
        <f t="shared" si="68"/>
        <v xml:space="preserve"> </v>
      </c>
      <c r="AR49" s="40">
        <f t="shared" si="69"/>
        <v>1513.1044776119404</v>
      </c>
      <c r="AS49" s="40"/>
      <c r="AT49" s="40">
        <f t="shared" si="70"/>
        <v>0</v>
      </c>
    </row>
    <row r="50" spans="1:46" ht="15" customHeight="1" x14ac:dyDescent="0.25">
      <c r="A50" s="6">
        <f t="shared" si="50"/>
        <v>4.2218750144068819E-2</v>
      </c>
      <c r="B50" s="7" t="s">
        <v>8</v>
      </c>
      <c r="C50" s="22" t="s">
        <v>37</v>
      </c>
      <c r="D50" s="13" t="str">
        <f t="shared" si="49"/>
        <v>Projectile Tracking</v>
      </c>
      <c r="E50" s="4" t="s">
        <v>65</v>
      </c>
      <c r="F50" s="4" t="s">
        <v>91</v>
      </c>
      <c r="H50" s="32">
        <f t="shared" si="51"/>
        <v>9</v>
      </c>
      <c r="I50" s="8">
        <f t="shared" si="52"/>
        <v>0.33333333333333331</v>
      </c>
      <c r="J50" s="9">
        <f t="shared" si="53"/>
        <v>1.7171052631578947</v>
      </c>
      <c r="K50" s="40">
        <f t="shared" si="54"/>
        <v>4035.2413793103447</v>
      </c>
      <c r="L50" s="40">
        <f t="shared" si="55"/>
        <v>184.48275862068965</v>
      </c>
      <c r="M50" s="40">
        <f t="shared" si="56"/>
        <v>223.23275862068965</v>
      </c>
      <c r="O50" s="10">
        <f t="shared" si="57"/>
        <v>11</v>
      </c>
      <c r="P50" s="10">
        <f t="shared" si="58"/>
        <v>11</v>
      </c>
      <c r="Q50" s="10">
        <f t="shared" si="59"/>
        <v>98</v>
      </c>
      <c r="R50" s="9">
        <f t="shared" si="60"/>
        <v>8.9090909090909083</v>
      </c>
      <c r="T50" s="5" t="s">
        <v>162</v>
      </c>
      <c r="U50" s="32">
        <v>25895</v>
      </c>
      <c r="V50" s="32">
        <v>70</v>
      </c>
      <c r="W50" s="32">
        <v>76</v>
      </c>
      <c r="X50" s="37">
        <v>121</v>
      </c>
      <c r="Y50" s="37">
        <v>468088</v>
      </c>
      <c r="Z50" s="37">
        <v>405841</v>
      </c>
      <c r="AA50" s="37">
        <v>427725</v>
      </c>
      <c r="AB50" s="37">
        <v>742136</v>
      </c>
      <c r="AC50" s="37">
        <v>21400</v>
      </c>
      <c r="AD50" s="37">
        <v>3020</v>
      </c>
      <c r="AE50" s="37">
        <v>220</v>
      </c>
      <c r="AF50" s="32">
        <v>3</v>
      </c>
      <c r="AG50" s="32">
        <v>6</v>
      </c>
      <c r="AH50" s="37">
        <v>116</v>
      </c>
      <c r="AI50" s="39">
        <f t="shared" si="61"/>
        <v>8.0555555555555561E-2</v>
      </c>
      <c r="AK50" s="9">
        <f t="shared" si="62"/>
        <v>0.60344827586206895</v>
      </c>
      <c r="AL50" s="9">
        <f t="shared" si="63"/>
        <v>0.65517241379310343</v>
      </c>
      <c r="AM50" s="6">
        <f t="shared" si="64"/>
        <v>1.0431034482758621</v>
      </c>
      <c r="AN50" s="8">
        <f t="shared" si="65"/>
        <v>0.86701859479414123</v>
      </c>
      <c r="AO50" s="8">
        <f t="shared" si="66"/>
        <v>0.13298140520585872</v>
      </c>
      <c r="AP50" s="40">
        <f t="shared" si="67"/>
        <v>3687.2844827586205</v>
      </c>
      <c r="AQ50" s="40">
        <f t="shared" si="68"/>
        <v>1.896551724137931</v>
      </c>
      <c r="AR50" s="40">
        <f t="shared" si="69"/>
        <v>6397.7241379310344</v>
      </c>
      <c r="AS50" s="40"/>
      <c r="AT50" s="40">
        <f t="shared" si="70"/>
        <v>210.51724137931035</v>
      </c>
    </row>
    <row r="51" spans="1:46" ht="15" customHeight="1" x14ac:dyDescent="0.25">
      <c r="A51" s="6">
        <f t="shared" si="50"/>
        <v>0.15005196549773755</v>
      </c>
      <c r="B51" s="4" t="s">
        <v>10</v>
      </c>
      <c r="C51" s="22" t="s">
        <v>37</v>
      </c>
      <c r="D51" s="13" t="str">
        <f t="shared" si="49"/>
        <v>Projectile Repeater</v>
      </c>
      <c r="E51" s="4" t="s">
        <v>65</v>
      </c>
      <c r="F51" s="4" t="s">
        <v>63</v>
      </c>
      <c r="H51" s="32">
        <f t="shared" si="51"/>
        <v>10</v>
      </c>
      <c r="I51" s="8">
        <f t="shared" si="52"/>
        <v>0.3</v>
      </c>
      <c r="J51" s="9">
        <f t="shared" si="53"/>
        <v>2.4230769230769229</v>
      </c>
      <c r="K51" s="40">
        <f t="shared" si="54"/>
        <v>5872.4201680672268</v>
      </c>
      <c r="L51" s="40" t="str">
        <f t="shared" si="55"/>
        <v xml:space="preserve"> </v>
      </c>
      <c r="M51" s="40">
        <f t="shared" si="56"/>
        <v>264.218487394958</v>
      </c>
      <c r="O51" s="10">
        <f t="shared" si="57"/>
        <v>14</v>
      </c>
      <c r="P51" s="10">
        <f t="shared" si="58"/>
        <v>14</v>
      </c>
      <c r="Q51" s="10">
        <f t="shared" si="59"/>
        <v>38</v>
      </c>
      <c r="R51" s="9">
        <f t="shared" si="60"/>
        <v>2.7142857142857144</v>
      </c>
      <c r="T51" s="5" t="s">
        <v>114</v>
      </c>
      <c r="U51" s="32">
        <v>31442</v>
      </c>
      <c r="V51" s="32">
        <v>107</v>
      </c>
      <c r="W51" s="32">
        <v>65</v>
      </c>
      <c r="X51" s="37">
        <v>101</v>
      </c>
      <c r="Y51" s="37">
        <v>698818</v>
      </c>
      <c r="Z51" s="37">
        <v>631863</v>
      </c>
      <c r="AA51" s="37">
        <v>859831</v>
      </c>
      <c r="AB51" s="37">
        <v>396428</v>
      </c>
      <c r="AC51" s="37">
        <v>0</v>
      </c>
      <c r="AD51" s="37">
        <v>6221</v>
      </c>
      <c r="AE51" s="37">
        <v>229</v>
      </c>
      <c r="AF51" s="32">
        <v>3</v>
      </c>
      <c r="AG51" s="32">
        <v>7</v>
      </c>
      <c r="AH51" s="37">
        <v>119</v>
      </c>
      <c r="AI51" s="39">
        <f t="shared" si="61"/>
        <v>8.2638888888888887E-2</v>
      </c>
      <c r="AK51" s="9">
        <f t="shared" si="62"/>
        <v>0.89915966386554624</v>
      </c>
      <c r="AL51" s="9">
        <f t="shared" si="63"/>
        <v>0.54621848739495793</v>
      </c>
      <c r="AM51" s="6">
        <f t="shared" si="64"/>
        <v>0.84873949579831931</v>
      </c>
      <c r="AN51" s="8">
        <f t="shared" si="65"/>
        <v>0.90418821495725643</v>
      </c>
      <c r="AO51" s="8">
        <f t="shared" si="66"/>
        <v>9.5811785042743611E-2</v>
      </c>
      <c r="AP51" s="40">
        <f t="shared" si="67"/>
        <v>7225.4705882352937</v>
      </c>
      <c r="AQ51" s="40">
        <f t="shared" si="68"/>
        <v>1.9243697478991597</v>
      </c>
      <c r="AR51" s="40">
        <f t="shared" si="69"/>
        <v>3331.3277310924368</v>
      </c>
      <c r="AS51" s="40"/>
      <c r="AT51" s="40">
        <f t="shared" si="70"/>
        <v>52.27731092436975</v>
      </c>
    </row>
    <row r="52" spans="1:46" ht="15" customHeight="1" x14ac:dyDescent="0.25">
      <c r="A52" s="6">
        <f t="shared" si="50"/>
        <v>0</v>
      </c>
      <c r="B52" s="7" t="s">
        <v>53</v>
      </c>
      <c r="C52" s="22" t="s">
        <v>37</v>
      </c>
      <c r="D52" s="13" t="str">
        <f t="shared" si="49"/>
        <v>Hitscan Tracking</v>
      </c>
      <c r="E52" s="4" t="s">
        <v>64</v>
      </c>
      <c r="F52" s="4" t="s">
        <v>91</v>
      </c>
      <c r="H52" s="32">
        <f t="shared" si="51"/>
        <v>1</v>
      </c>
      <c r="I52" s="8">
        <f t="shared" si="52"/>
        <v>0</v>
      </c>
      <c r="J52" s="9">
        <f t="shared" si="53"/>
        <v>8.5</v>
      </c>
      <c r="K52" s="40">
        <f t="shared" si="54"/>
        <v>7824.8125</v>
      </c>
      <c r="L52" s="40" t="str">
        <f t="shared" si="55"/>
        <v xml:space="preserve"> </v>
      </c>
      <c r="M52" s="40">
        <f t="shared" si="56"/>
        <v>249.3125</v>
      </c>
      <c r="O52" s="10">
        <f t="shared" si="57"/>
        <v>9</v>
      </c>
      <c r="P52" s="10">
        <f t="shared" si="58"/>
        <v>3</v>
      </c>
      <c r="Q52" s="10">
        <f t="shared" si="59"/>
        <v>-16</v>
      </c>
      <c r="R52" s="9">
        <f t="shared" si="60"/>
        <v>0</v>
      </c>
      <c r="T52" s="5" t="s">
        <v>183</v>
      </c>
      <c r="U52" s="32">
        <v>3989</v>
      </c>
      <c r="V52" s="32">
        <v>15</v>
      </c>
      <c r="W52" s="32">
        <v>3</v>
      </c>
      <c r="X52" s="37">
        <v>21</v>
      </c>
      <c r="Y52" s="37">
        <v>125197</v>
      </c>
      <c r="Z52" s="37">
        <v>92111</v>
      </c>
      <c r="AA52" s="37">
        <v>189541</v>
      </c>
      <c r="AB52" s="37">
        <v>0</v>
      </c>
      <c r="AC52" s="37">
        <v>0</v>
      </c>
      <c r="AD52" s="37">
        <v>44815</v>
      </c>
      <c r="AE52" s="37">
        <v>126</v>
      </c>
      <c r="AF52" s="32">
        <v>0</v>
      </c>
      <c r="AG52" s="32">
        <v>1</v>
      </c>
      <c r="AH52" s="37">
        <v>16</v>
      </c>
      <c r="AI52" s="39">
        <f t="shared" si="61"/>
        <v>1.1111111111111112E-2</v>
      </c>
      <c r="AK52" s="9">
        <f t="shared" si="62"/>
        <v>0.9375</v>
      </c>
      <c r="AL52" s="9">
        <f t="shared" si="63"/>
        <v>0.1875</v>
      </c>
      <c r="AM52" s="6">
        <f t="shared" si="64"/>
        <v>1.3125</v>
      </c>
      <c r="AN52" s="8">
        <f t="shared" si="65"/>
        <v>0.7357284918967707</v>
      </c>
      <c r="AO52" s="8">
        <f t="shared" si="66"/>
        <v>0.2642715081032293</v>
      </c>
      <c r="AP52" s="40">
        <f t="shared" si="67"/>
        <v>11846.3125</v>
      </c>
      <c r="AQ52" s="40">
        <f t="shared" si="68"/>
        <v>7.875</v>
      </c>
      <c r="AR52" s="40" t="str">
        <f t="shared" si="69"/>
        <v xml:space="preserve"> </v>
      </c>
      <c r="AS52" s="40"/>
      <c r="AT52" s="40">
        <f t="shared" si="70"/>
        <v>2800.9375</v>
      </c>
    </row>
    <row r="53" spans="1:46" ht="15" customHeight="1" x14ac:dyDescent="0.25">
      <c r="A53" s="6" t="str">
        <f t="shared" si="50"/>
        <v xml:space="preserve"> </v>
      </c>
      <c r="B53" s="7" t="s">
        <v>18</v>
      </c>
      <c r="C53" s="22" t="s">
        <v>37</v>
      </c>
      <c r="D53" s="13" t="str">
        <f t="shared" si="49"/>
        <v>Projectile Melee</v>
      </c>
      <c r="E53" s="4" t="s">
        <v>65</v>
      </c>
      <c r="F53" s="4" t="s">
        <v>67</v>
      </c>
      <c r="H53" s="32" t="str">
        <f t="shared" si="51"/>
        <v xml:space="preserve"> </v>
      </c>
      <c r="I53" s="8" t="str">
        <f t="shared" si="52"/>
        <v/>
      </c>
      <c r="J53" s="9" t="str">
        <f t="shared" si="53"/>
        <v xml:space="preserve"> </v>
      </c>
      <c r="K53" s="40" t="str">
        <f t="shared" si="54"/>
        <v xml:space="preserve"> </v>
      </c>
      <c r="L53" s="40" t="str">
        <f t="shared" si="55"/>
        <v xml:space="preserve"> </v>
      </c>
      <c r="M53" s="40" t="str">
        <f t="shared" si="56"/>
        <v xml:space="preserve"> </v>
      </c>
      <c r="O53" s="10" t="str">
        <f t="shared" si="57"/>
        <v xml:space="preserve"> </v>
      </c>
      <c r="P53" s="10" t="str">
        <f t="shared" si="58"/>
        <v xml:space="preserve"> </v>
      </c>
      <c r="Q53" s="10" t="str">
        <f t="shared" si="59"/>
        <v xml:space="preserve"> </v>
      </c>
      <c r="R53" s="9" t="e">
        <f t="shared" si="60"/>
        <v>#VALUE!</v>
      </c>
      <c r="X53" s="37"/>
      <c r="Y53" s="37"/>
      <c r="Z53" s="37"/>
      <c r="AA53" s="37"/>
      <c r="AB53" s="37"/>
      <c r="AC53" s="37"/>
      <c r="AD53" s="37"/>
      <c r="AE53" s="37"/>
      <c r="AH53" s="37"/>
      <c r="AI53" s="39" t="str">
        <f t="shared" si="61"/>
        <v xml:space="preserve"> </v>
      </c>
      <c r="AK53" s="9" t="str">
        <f t="shared" si="62"/>
        <v xml:space="preserve"> </v>
      </c>
      <c r="AL53" s="9" t="str">
        <f t="shared" si="63"/>
        <v xml:space="preserve"> </v>
      </c>
      <c r="AM53" s="6" t="str">
        <f t="shared" si="64"/>
        <v xml:space="preserve"> </v>
      </c>
      <c r="AN53" s="8" t="str">
        <f t="shared" si="65"/>
        <v xml:space="preserve"> </v>
      </c>
      <c r="AO53" s="8" t="str">
        <f t="shared" si="66"/>
        <v xml:space="preserve"> </v>
      </c>
      <c r="AP53" s="40" t="str">
        <f t="shared" si="67"/>
        <v xml:space="preserve"> </v>
      </c>
      <c r="AQ53" s="40" t="str">
        <f t="shared" si="68"/>
        <v xml:space="preserve"> </v>
      </c>
      <c r="AR53" s="40" t="str">
        <f t="shared" si="69"/>
        <v xml:space="preserve"> </v>
      </c>
      <c r="AS53" s="40"/>
      <c r="AT53" s="40" t="str">
        <f t="shared" si="70"/>
        <v xml:space="preserve"> </v>
      </c>
    </row>
    <row r="54" spans="1:46" ht="15" customHeight="1" x14ac:dyDescent="0.25">
      <c r="A54" s="6" t="str">
        <f t="shared" si="50"/>
        <v xml:space="preserve"> </v>
      </c>
      <c r="B54" s="7" t="s">
        <v>110</v>
      </c>
      <c r="C54" s="22" t="s">
        <v>37</v>
      </c>
      <c r="D54" s="13" t="str">
        <f t="shared" si="49"/>
        <v>Projectile Tracking</v>
      </c>
      <c r="E54" s="4" t="s">
        <v>65</v>
      </c>
      <c r="F54" s="4" t="s">
        <v>91</v>
      </c>
      <c r="H54" s="32" t="str">
        <f t="shared" si="51"/>
        <v xml:space="preserve"> </v>
      </c>
      <c r="I54" s="8" t="str">
        <f t="shared" si="52"/>
        <v/>
      </c>
      <c r="J54" s="9" t="str">
        <f t="shared" si="53"/>
        <v xml:space="preserve"> </v>
      </c>
      <c r="K54" s="40" t="str">
        <f t="shared" si="54"/>
        <v xml:space="preserve"> </v>
      </c>
      <c r="L54" s="40" t="str">
        <f t="shared" si="55"/>
        <v xml:space="preserve"> </v>
      </c>
      <c r="M54" s="40" t="str">
        <f t="shared" si="56"/>
        <v xml:space="preserve"> </v>
      </c>
      <c r="O54" s="10" t="str">
        <f t="shared" si="57"/>
        <v xml:space="preserve"> </v>
      </c>
      <c r="P54" s="10" t="str">
        <f t="shared" si="58"/>
        <v xml:space="preserve"> </v>
      </c>
      <c r="Q54" s="10" t="str">
        <f t="shared" si="59"/>
        <v xml:space="preserve"> </v>
      </c>
      <c r="R54" s="9" t="e">
        <f t="shared" si="60"/>
        <v>#VALUE!</v>
      </c>
      <c r="X54" s="37"/>
      <c r="Y54" s="37"/>
      <c r="Z54" s="37"/>
      <c r="AA54" s="37"/>
      <c r="AB54" s="37"/>
      <c r="AC54" s="37"/>
      <c r="AD54" s="37"/>
      <c r="AE54" s="37"/>
      <c r="AH54" s="37"/>
      <c r="AI54" s="39" t="str">
        <f t="shared" si="61"/>
        <v xml:space="preserve"> </v>
      </c>
      <c r="AK54" s="9" t="str">
        <f t="shared" si="62"/>
        <v xml:space="preserve"> </v>
      </c>
      <c r="AL54" s="9" t="str">
        <f t="shared" si="63"/>
        <v xml:space="preserve"> </v>
      </c>
      <c r="AM54" s="6" t="str">
        <f t="shared" si="64"/>
        <v xml:space="preserve"> </v>
      </c>
      <c r="AN54" s="8" t="str">
        <f t="shared" si="65"/>
        <v xml:space="preserve"> </v>
      </c>
      <c r="AO54" s="8" t="str">
        <f t="shared" si="66"/>
        <v xml:space="preserve"> </v>
      </c>
      <c r="AP54" s="40" t="str">
        <f t="shared" si="67"/>
        <v xml:space="preserve"> </v>
      </c>
      <c r="AQ54" s="40" t="str">
        <f t="shared" si="68"/>
        <v xml:space="preserve"> </v>
      </c>
      <c r="AR54" s="40" t="str">
        <f t="shared" si="69"/>
        <v xml:space="preserve"> </v>
      </c>
      <c r="AS54" s="40"/>
      <c r="AT54" s="40" t="str">
        <f t="shared" si="70"/>
        <v xml:space="preserve"> </v>
      </c>
    </row>
    <row r="55" spans="1:46" ht="15" customHeight="1" x14ac:dyDescent="0.25">
      <c r="A55" s="6">
        <f t="shared" si="50"/>
        <v>0.45063190497256456</v>
      </c>
      <c r="B55" s="7" t="s">
        <v>51</v>
      </c>
      <c r="C55" s="22" t="s">
        <v>40</v>
      </c>
      <c r="D55" s="13" t="str">
        <f t="shared" si="49"/>
        <v>Hitscan Tracking</v>
      </c>
      <c r="E55" s="4" t="s">
        <v>64</v>
      </c>
      <c r="F55" s="4" t="s">
        <v>91</v>
      </c>
      <c r="H55" s="32">
        <f t="shared" si="51"/>
        <v>9</v>
      </c>
      <c r="I55" s="8">
        <f t="shared" si="52"/>
        <v>0.77777777777777779</v>
      </c>
      <c r="J55" s="9">
        <f t="shared" si="53"/>
        <v>6.38</v>
      </c>
      <c r="K55" s="40">
        <f t="shared" si="54"/>
        <v>3571.7758620689656</v>
      </c>
      <c r="L55" s="40">
        <f t="shared" si="55"/>
        <v>8841.7844827586214</v>
      </c>
      <c r="M55" s="40">
        <f t="shared" si="56"/>
        <v>274.83620689655174</v>
      </c>
      <c r="O55" s="10">
        <f t="shared" si="57"/>
        <v>1</v>
      </c>
      <c r="P55" s="10">
        <f t="shared" si="58"/>
        <v>-2</v>
      </c>
      <c r="Q55" s="10">
        <f t="shared" si="59"/>
        <v>-84</v>
      </c>
      <c r="R55" s="9">
        <f t="shared" si="60"/>
        <v>0</v>
      </c>
      <c r="T55" s="5" t="s">
        <v>162</v>
      </c>
      <c r="U55" s="32">
        <v>31881</v>
      </c>
      <c r="V55" s="32">
        <v>55</v>
      </c>
      <c r="W55" s="32">
        <v>25</v>
      </c>
      <c r="X55" s="37">
        <v>209</v>
      </c>
      <c r="Y55" s="37">
        <v>414326</v>
      </c>
      <c r="Z55" s="37">
        <v>364545</v>
      </c>
      <c r="AA55" s="37">
        <v>233076</v>
      </c>
      <c r="AB55" s="37">
        <v>5697</v>
      </c>
      <c r="AC55" s="37">
        <v>1025647</v>
      </c>
      <c r="AD55" s="37">
        <v>135658</v>
      </c>
      <c r="AE55" s="37">
        <v>389</v>
      </c>
      <c r="AF55" s="32">
        <v>7</v>
      </c>
      <c r="AG55" s="32">
        <v>2</v>
      </c>
      <c r="AH55" s="37">
        <v>116</v>
      </c>
      <c r="AI55" s="39">
        <f t="shared" si="61"/>
        <v>8.0555555555555561E-2</v>
      </c>
      <c r="AK55" s="9">
        <f t="shared" si="62"/>
        <v>0.47413793103448276</v>
      </c>
      <c r="AL55" s="9">
        <f t="shared" si="63"/>
        <v>0.21551724137931033</v>
      </c>
      <c r="AM55" s="6">
        <f t="shared" si="64"/>
        <v>1.8017241379310345</v>
      </c>
      <c r="AN55" s="8">
        <f t="shared" si="65"/>
        <v>0.8798506490058553</v>
      </c>
      <c r="AO55" s="8">
        <f t="shared" si="66"/>
        <v>0.12014935099414471</v>
      </c>
      <c r="AP55" s="40">
        <f t="shared" si="67"/>
        <v>2009.2758620689656</v>
      </c>
      <c r="AQ55" s="40">
        <f t="shared" si="68"/>
        <v>3.353448275862069</v>
      </c>
      <c r="AR55" s="40">
        <f t="shared" si="69"/>
        <v>49.112068965517238</v>
      </c>
      <c r="AS55" s="40"/>
      <c r="AT55" s="40">
        <f t="shared" si="70"/>
        <v>10011.25</v>
      </c>
    </row>
    <row r="56" spans="1:46" ht="15" customHeight="1" x14ac:dyDescent="0.25">
      <c r="A56" s="6">
        <f t="shared" si="50"/>
        <v>5.2724861364820113</v>
      </c>
      <c r="B56" s="7" t="s">
        <v>23</v>
      </c>
      <c r="C56" s="22" t="s">
        <v>40</v>
      </c>
      <c r="D56" s="13" t="str">
        <f t="shared" si="49"/>
        <v>Hitscan Repeater</v>
      </c>
      <c r="E56" s="4" t="s">
        <v>64</v>
      </c>
      <c r="F56" s="4" t="s">
        <v>63</v>
      </c>
      <c r="H56" s="32">
        <f t="shared" si="51"/>
        <v>13</v>
      </c>
      <c r="I56" s="8">
        <f t="shared" si="52"/>
        <v>0.61538461538461542</v>
      </c>
      <c r="J56" s="9">
        <f t="shared" si="53"/>
        <v>4.9886363636363633</v>
      </c>
      <c r="K56" s="40">
        <f t="shared" si="54"/>
        <v>6104.2366412213742</v>
      </c>
      <c r="L56" s="40">
        <f t="shared" si="55"/>
        <v>6934.3358778625952</v>
      </c>
      <c r="M56" s="40">
        <f t="shared" si="56"/>
        <v>362.2290076335878</v>
      </c>
      <c r="O56" s="10">
        <f t="shared" si="57"/>
        <v>4</v>
      </c>
      <c r="P56" s="10">
        <f t="shared" si="58"/>
        <v>4</v>
      </c>
      <c r="Q56" s="10">
        <f t="shared" si="59"/>
        <v>-87</v>
      </c>
      <c r="R56" s="9">
        <f t="shared" si="60"/>
        <v>0</v>
      </c>
      <c r="T56" s="5" t="s">
        <v>163</v>
      </c>
      <c r="U56" s="32">
        <v>47452</v>
      </c>
      <c r="V56" s="32">
        <v>109</v>
      </c>
      <c r="W56" s="32">
        <v>44</v>
      </c>
      <c r="X56" s="37">
        <v>221</v>
      </c>
      <c r="Y56" s="37">
        <v>799655</v>
      </c>
      <c r="Z56" s="37">
        <v>560648</v>
      </c>
      <c r="AA56" s="37">
        <v>341602</v>
      </c>
      <c r="AB56" s="37">
        <v>0</v>
      </c>
      <c r="AC56" s="37">
        <v>908398</v>
      </c>
      <c r="AD56" s="37">
        <v>162322</v>
      </c>
      <c r="AE56" s="37">
        <v>612</v>
      </c>
      <c r="AF56" s="32">
        <v>8</v>
      </c>
      <c r="AG56" s="32">
        <v>5</v>
      </c>
      <c r="AH56" s="37">
        <v>131</v>
      </c>
      <c r="AI56" s="39">
        <f t="shared" si="61"/>
        <v>9.0972222222222218E-2</v>
      </c>
      <c r="AK56" s="9">
        <f t="shared" si="62"/>
        <v>0.83206106870229013</v>
      </c>
      <c r="AL56" s="9">
        <f t="shared" si="63"/>
        <v>0.33587786259541985</v>
      </c>
      <c r="AM56" s="6">
        <f t="shared" si="64"/>
        <v>1.6870229007633588</v>
      </c>
      <c r="AN56" s="8">
        <f t="shared" si="65"/>
        <v>0.70111235470296562</v>
      </c>
      <c r="AO56" s="8">
        <f t="shared" si="66"/>
        <v>0.29888764529703432</v>
      </c>
      <c r="AP56" s="40">
        <f t="shared" si="67"/>
        <v>2607.6488549618321</v>
      </c>
      <c r="AQ56" s="40">
        <f t="shared" si="68"/>
        <v>4.6717557251908399</v>
      </c>
      <c r="AR56" s="40" t="str">
        <f t="shared" si="69"/>
        <v xml:space="preserve"> </v>
      </c>
      <c r="AS56" s="40"/>
      <c r="AT56" s="40">
        <f t="shared" si="70"/>
        <v>8173.4351145038172</v>
      </c>
    </row>
    <row r="57" spans="1:46" ht="15" customHeight="1" x14ac:dyDescent="0.25">
      <c r="A57" s="6">
        <f t="shared" si="50"/>
        <v>1.0077461381398875E-2</v>
      </c>
      <c r="B57" s="7" t="s">
        <v>17</v>
      </c>
      <c r="C57" s="22" t="s">
        <v>40</v>
      </c>
      <c r="D57" s="13" t="str">
        <f t="shared" si="49"/>
        <v>Hitscan Tracking</v>
      </c>
      <c r="E57" s="4" t="s">
        <v>64</v>
      </c>
      <c r="F57" s="4" t="s">
        <v>91</v>
      </c>
      <c r="H57" s="32">
        <f t="shared" si="51"/>
        <v>7</v>
      </c>
      <c r="I57" s="8">
        <f t="shared" si="52"/>
        <v>0.42857142857142855</v>
      </c>
      <c r="J57" s="9">
        <f t="shared" si="53"/>
        <v>2.5441176470588234</v>
      </c>
      <c r="K57" s="40">
        <f t="shared" si="54"/>
        <v>6162.333333333333</v>
      </c>
      <c r="L57" s="40">
        <f t="shared" si="55"/>
        <v>3073.246376811594</v>
      </c>
      <c r="M57" s="40">
        <f t="shared" si="56"/>
        <v>289.13043478260869</v>
      </c>
      <c r="O57" s="10">
        <f t="shared" si="57"/>
        <v>7</v>
      </c>
      <c r="P57" s="10">
        <f t="shared" si="58"/>
        <v>7</v>
      </c>
      <c r="Q57" s="10">
        <f t="shared" si="59"/>
        <v>16</v>
      </c>
      <c r="R57" s="9">
        <f t="shared" si="60"/>
        <v>2.2857142857142856</v>
      </c>
      <c r="T57" s="5" t="s">
        <v>187</v>
      </c>
      <c r="U57" s="32">
        <v>19950</v>
      </c>
      <c r="V57" s="32">
        <v>37</v>
      </c>
      <c r="W57" s="32">
        <v>34</v>
      </c>
      <c r="X57" s="37">
        <v>99</v>
      </c>
      <c r="Y57" s="37">
        <v>425201</v>
      </c>
      <c r="Z57" s="37">
        <v>235948</v>
      </c>
      <c r="AA57" s="37">
        <v>328712</v>
      </c>
      <c r="AB57" s="37">
        <v>2700</v>
      </c>
      <c r="AC57" s="37">
        <v>212054</v>
      </c>
      <c r="AD57" s="37">
        <v>190367</v>
      </c>
      <c r="AE57" s="37">
        <v>343</v>
      </c>
      <c r="AF57" s="32">
        <v>3</v>
      </c>
      <c r="AG57" s="32">
        <v>4</v>
      </c>
      <c r="AH57" s="37">
        <v>69</v>
      </c>
      <c r="AI57" s="39">
        <f t="shared" si="61"/>
        <v>4.791666666666667E-2</v>
      </c>
      <c r="AK57" s="9">
        <f t="shared" si="62"/>
        <v>0.53623188405797106</v>
      </c>
      <c r="AL57" s="9">
        <f t="shared" si="63"/>
        <v>0.49275362318840582</v>
      </c>
      <c r="AM57" s="6">
        <f t="shared" si="64"/>
        <v>1.4347826086956521</v>
      </c>
      <c r="AN57" s="8">
        <f t="shared" si="65"/>
        <v>0.55490932523677039</v>
      </c>
      <c r="AO57" s="8">
        <f t="shared" si="66"/>
        <v>0.44509067476322961</v>
      </c>
      <c r="AP57" s="40">
        <f t="shared" si="67"/>
        <v>4763.942028985507</v>
      </c>
      <c r="AQ57" s="40">
        <f t="shared" si="68"/>
        <v>4.9710144927536231</v>
      </c>
      <c r="AR57" s="40">
        <f t="shared" si="69"/>
        <v>39.130434782608695</v>
      </c>
      <c r="AS57" s="40"/>
      <c r="AT57" s="40">
        <f t="shared" si="70"/>
        <v>5832.188405797101</v>
      </c>
    </row>
    <row r="58" spans="1:46" ht="15" customHeight="1" x14ac:dyDescent="0.25">
      <c r="A58" s="6">
        <f t="shared" si="50"/>
        <v>4.4198090870698631E-4</v>
      </c>
      <c r="B58" s="7" t="s">
        <v>21</v>
      </c>
      <c r="C58" s="22" t="s">
        <v>40</v>
      </c>
      <c r="D58" s="13" t="str">
        <f t="shared" si="49"/>
        <v>Projectile Arc</v>
      </c>
      <c r="E58" s="4" t="s">
        <v>65</v>
      </c>
      <c r="F58" s="4" t="s">
        <v>66</v>
      </c>
      <c r="H58" s="32">
        <f t="shared" si="51"/>
        <v>5</v>
      </c>
      <c r="I58" s="8">
        <f t="shared" si="52"/>
        <v>0.4</v>
      </c>
      <c r="J58" s="9">
        <f t="shared" si="53"/>
        <v>3.9285714285714284</v>
      </c>
      <c r="K58" s="40">
        <f t="shared" si="54"/>
        <v>6182.434782608696</v>
      </c>
      <c r="L58" s="40">
        <f t="shared" si="55"/>
        <v>2124.304347826087</v>
      </c>
      <c r="M58" s="40">
        <f t="shared" si="56"/>
        <v>378.71739130434781</v>
      </c>
      <c r="O58" s="10">
        <f t="shared" si="57"/>
        <v>5</v>
      </c>
      <c r="P58" s="10">
        <f t="shared" si="58"/>
        <v>5</v>
      </c>
      <c r="Q58" s="10">
        <f t="shared" si="59"/>
        <v>-19</v>
      </c>
      <c r="R58" s="9">
        <f t="shared" si="60"/>
        <v>0</v>
      </c>
      <c r="T58" s="5" t="s">
        <v>167</v>
      </c>
      <c r="U58" s="32">
        <v>17421</v>
      </c>
      <c r="V58" s="32">
        <v>50</v>
      </c>
      <c r="W58" s="32">
        <v>21</v>
      </c>
      <c r="X58" s="37">
        <v>65</v>
      </c>
      <c r="Y58" s="37">
        <v>284392</v>
      </c>
      <c r="Z58" s="37">
        <v>264720</v>
      </c>
      <c r="AA58" s="37">
        <v>167826</v>
      </c>
      <c r="AB58" s="37">
        <v>0</v>
      </c>
      <c r="AC58" s="37">
        <v>97718</v>
      </c>
      <c r="AD58" s="37">
        <v>55123</v>
      </c>
      <c r="AE58" s="37">
        <v>148</v>
      </c>
      <c r="AF58" s="32">
        <v>2</v>
      </c>
      <c r="AG58" s="32">
        <v>3</v>
      </c>
      <c r="AH58" s="37">
        <v>46</v>
      </c>
      <c r="AI58" s="39">
        <f t="shared" si="61"/>
        <v>3.1944444444444442E-2</v>
      </c>
      <c r="AK58" s="9">
        <f t="shared" si="62"/>
        <v>1.0869565217391304</v>
      </c>
      <c r="AL58" s="9">
        <f t="shared" si="63"/>
        <v>0.45652173913043476</v>
      </c>
      <c r="AM58" s="6">
        <f t="shared" si="64"/>
        <v>1.4130434782608696</v>
      </c>
      <c r="AN58" s="8">
        <f t="shared" si="65"/>
        <v>0.93082787138878731</v>
      </c>
      <c r="AO58" s="8">
        <f t="shared" si="66"/>
        <v>6.9172128611212691E-2</v>
      </c>
      <c r="AP58" s="40">
        <f t="shared" si="67"/>
        <v>3648.391304347826</v>
      </c>
      <c r="AQ58" s="40">
        <f t="shared" si="68"/>
        <v>3.2173913043478262</v>
      </c>
      <c r="AR58" s="40" t="str">
        <f t="shared" si="69"/>
        <v xml:space="preserve"> </v>
      </c>
      <c r="AS58" s="40"/>
      <c r="AT58" s="40">
        <f t="shared" si="70"/>
        <v>3322.6304347826085</v>
      </c>
    </row>
    <row r="59" spans="1:46" ht="15" customHeight="1" x14ac:dyDescent="0.25">
      <c r="A59" s="6">
        <f t="shared" si="50"/>
        <v>7.5037714610378574E-4</v>
      </c>
      <c r="B59" s="7" t="s">
        <v>49</v>
      </c>
      <c r="C59" s="22" t="s">
        <v>40</v>
      </c>
      <c r="D59" s="13" t="str">
        <f t="shared" si="49"/>
        <v>Projectile Repeater</v>
      </c>
      <c r="E59" s="4" t="s">
        <v>65</v>
      </c>
      <c r="F59" s="4" t="s">
        <v>63</v>
      </c>
      <c r="H59" s="32">
        <f t="shared" si="51"/>
        <v>5</v>
      </c>
      <c r="I59" s="8">
        <f t="shared" si="52"/>
        <v>0.6</v>
      </c>
      <c r="J59" s="9">
        <f t="shared" si="53"/>
        <v>3.4705882352941178</v>
      </c>
      <c r="K59" s="40">
        <f t="shared" si="54"/>
        <v>4975</v>
      </c>
      <c r="L59" s="40">
        <f t="shared" si="55"/>
        <v>6693.272727272727</v>
      </c>
      <c r="M59" s="40">
        <f t="shared" si="56"/>
        <v>485.21212121212119</v>
      </c>
      <c r="O59" s="10">
        <f t="shared" si="57"/>
        <v>5</v>
      </c>
      <c r="P59" s="10">
        <f t="shared" si="58"/>
        <v>2</v>
      </c>
      <c r="Q59" s="10">
        <f t="shared" si="59"/>
        <v>-8</v>
      </c>
      <c r="R59" s="9">
        <f t="shared" si="60"/>
        <v>0</v>
      </c>
      <c r="T59" s="5" t="s">
        <v>214</v>
      </c>
      <c r="U59" s="32">
        <v>16012</v>
      </c>
      <c r="V59" s="32">
        <v>23</v>
      </c>
      <c r="W59" s="32">
        <v>17</v>
      </c>
      <c r="X59" s="37">
        <v>72</v>
      </c>
      <c r="Y59" s="37">
        <v>164175</v>
      </c>
      <c r="Z59" s="37">
        <v>154723</v>
      </c>
      <c r="AA59" s="37">
        <v>92513</v>
      </c>
      <c r="AB59" s="37">
        <v>2230</v>
      </c>
      <c r="AC59" s="37">
        <v>220878</v>
      </c>
      <c r="AD59" s="37">
        <v>38843</v>
      </c>
      <c r="AE59" s="37">
        <v>240</v>
      </c>
      <c r="AF59" s="32">
        <v>3</v>
      </c>
      <c r="AG59" s="32">
        <v>2</v>
      </c>
      <c r="AH59" s="37">
        <v>33</v>
      </c>
      <c r="AI59" s="39">
        <f t="shared" si="61"/>
        <v>2.2916666666666665E-2</v>
      </c>
      <c r="AK59" s="9">
        <f t="shared" si="62"/>
        <v>0.69696969696969702</v>
      </c>
      <c r="AL59" s="9">
        <f t="shared" si="63"/>
        <v>0.51515151515151514</v>
      </c>
      <c r="AM59" s="6">
        <f t="shared" si="64"/>
        <v>2.1818181818181817</v>
      </c>
      <c r="AN59" s="8">
        <f t="shared" si="65"/>
        <v>0.94242728795492614</v>
      </c>
      <c r="AO59" s="8">
        <f t="shared" si="66"/>
        <v>5.7572712045073852E-2</v>
      </c>
      <c r="AP59" s="40">
        <f t="shared" si="67"/>
        <v>2803.4242424242425</v>
      </c>
      <c r="AQ59" s="40">
        <f t="shared" si="68"/>
        <v>7.2727272727272725</v>
      </c>
      <c r="AR59" s="40">
        <f t="shared" si="69"/>
        <v>67.575757575757578</v>
      </c>
      <c r="AS59" s="40"/>
      <c r="AT59" s="40">
        <f t="shared" si="70"/>
        <v>7870.333333333333</v>
      </c>
    </row>
    <row r="60" spans="1:46" ht="15" customHeight="1" x14ac:dyDescent="0.25">
      <c r="A60" s="6">
        <f t="shared" si="50"/>
        <v>1.3773022152197031E-4</v>
      </c>
      <c r="B60" s="7" t="s">
        <v>12</v>
      </c>
      <c r="C60" s="22" t="s">
        <v>40</v>
      </c>
      <c r="D60" s="13" t="str">
        <f t="shared" si="49"/>
        <v>Hitscan Tracking Repeater</v>
      </c>
      <c r="E60" s="12" t="s">
        <v>64</v>
      </c>
      <c r="F60" s="12" t="s">
        <v>92</v>
      </c>
      <c r="H60" s="32">
        <f t="shared" si="51"/>
        <v>4</v>
      </c>
      <c r="I60" s="8">
        <f t="shared" si="52"/>
        <v>1</v>
      </c>
      <c r="J60" s="9">
        <f t="shared" si="53"/>
        <v>8.8636363636363633</v>
      </c>
      <c r="K60" s="40">
        <f t="shared" si="54"/>
        <v>5240.6444444444442</v>
      </c>
      <c r="L60" s="40">
        <f t="shared" si="55"/>
        <v>5242.0888888888885</v>
      </c>
      <c r="M60" s="40">
        <f t="shared" si="56"/>
        <v>412.02222222222224</v>
      </c>
      <c r="O60" s="10">
        <f t="shared" si="57"/>
        <v>6</v>
      </c>
      <c r="P60" s="10">
        <f t="shared" si="58"/>
        <v>-4</v>
      </c>
      <c r="Q60" s="10">
        <f t="shared" si="59"/>
        <v>-64</v>
      </c>
      <c r="R60" s="9">
        <f t="shared" si="60"/>
        <v>0</v>
      </c>
      <c r="T60" s="5" t="s">
        <v>165</v>
      </c>
      <c r="U60" s="32">
        <v>18541</v>
      </c>
      <c r="V60" s="32">
        <v>53</v>
      </c>
      <c r="W60" s="32">
        <v>11</v>
      </c>
      <c r="X60" s="37">
        <v>89</v>
      </c>
      <c r="Y60" s="37">
        <v>235829</v>
      </c>
      <c r="Z60" s="37">
        <v>211247</v>
      </c>
      <c r="AA60" s="37">
        <v>157108</v>
      </c>
      <c r="AB60" s="37">
        <v>0</v>
      </c>
      <c r="AC60" s="37">
        <v>235894</v>
      </c>
      <c r="AD60" s="37">
        <v>78455</v>
      </c>
      <c r="AE60" s="37">
        <v>88</v>
      </c>
      <c r="AF60" s="32">
        <v>4</v>
      </c>
      <c r="AG60" s="32">
        <v>0</v>
      </c>
      <c r="AH60" s="37">
        <v>45</v>
      </c>
      <c r="AI60" s="39">
        <f t="shared" si="61"/>
        <v>3.125E-2</v>
      </c>
      <c r="AK60" s="9">
        <f t="shared" si="62"/>
        <v>1.1777777777777778</v>
      </c>
      <c r="AL60" s="9">
        <f t="shared" si="63"/>
        <v>0.24444444444444444</v>
      </c>
      <c r="AM60" s="6">
        <f t="shared" si="64"/>
        <v>1.9777777777777779</v>
      </c>
      <c r="AN60" s="8">
        <f t="shared" si="65"/>
        <v>0.89576345572427474</v>
      </c>
      <c r="AO60" s="8">
        <f t="shared" si="66"/>
        <v>0.10423654427572521</v>
      </c>
      <c r="AP60" s="40">
        <f t="shared" si="67"/>
        <v>3491.2888888888888</v>
      </c>
      <c r="AQ60" s="40">
        <f t="shared" si="68"/>
        <v>1.9555555555555555</v>
      </c>
      <c r="AR60" s="40" t="str">
        <f t="shared" si="69"/>
        <v xml:space="preserve"> </v>
      </c>
      <c r="AS60" s="40"/>
      <c r="AT60" s="40">
        <f t="shared" si="70"/>
        <v>6985.5333333333338</v>
      </c>
    </row>
    <row r="61" spans="1:46" ht="15" customHeight="1" x14ac:dyDescent="0.25">
      <c r="A61" s="6">
        <f t="shared" si="50"/>
        <v>5.7842179471125114E-7</v>
      </c>
      <c r="B61" s="7" t="s">
        <v>11</v>
      </c>
      <c r="C61" s="22" t="s">
        <v>40</v>
      </c>
      <c r="D61" s="13" t="str">
        <f t="shared" si="49"/>
        <v>Hitscan Tracking</v>
      </c>
      <c r="E61" s="4" t="s">
        <v>64</v>
      </c>
      <c r="F61" s="4" t="s">
        <v>91</v>
      </c>
      <c r="H61" s="32">
        <f t="shared" si="51"/>
        <v>3</v>
      </c>
      <c r="I61" s="8">
        <f t="shared" si="52"/>
        <v>1</v>
      </c>
      <c r="J61" s="9">
        <f t="shared" si="53"/>
        <v>4.791666666666667</v>
      </c>
      <c r="K61" s="40">
        <f t="shared" si="54"/>
        <v>2440.3888888888887</v>
      </c>
      <c r="L61" s="40">
        <f t="shared" si="55"/>
        <v>1235.0833333333333</v>
      </c>
      <c r="M61" s="40">
        <f t="shared" si="56"/>
        <v>334.91666666666669</v>
      </c>
      <c r="O61" s="10">
        <f t="shared" si="57"/>
        <v>7</v>
      </c>
      <c r="P61" s="10">
        <f t="shared" si="58"/>
        <v>-3</v>
      </c>
      <c r="Q61" s="10">
        <f t="shared" si="59"/>
        <v>-21</v>
      </c>
      <c r="R61" s="9">
        <f t="shared" si="60"/>
        <v>0</v>
      </c>
      <c r="T61" s="5" t="s">
        <v>169</v>
      </c>
      <c r="U61" s="32">
        <v>12057</v>
      </c>
      <c r="V61" s="32">
        <v>15</v>
      </c>
      <c r="W61" s="32">
        <v>12</v>
      </c>
      <c r="X61" s="32">
        <v>85</v>
      </c>
      <c r="Y61" s="32">
        <v>87854</v>
      </c>
      <c r="Z61" s="32">
        <v>87854</v>
      </c>
      <c r="AA61" s="32">
        <v>96203</v>
      </c>
      <c r="AB61" s="32">
        <v>0</v>
      </c>
      <c r="AC61" s="32">
        <v>44463</v>
      </c>
      <c r="AD61" s="32">
        <v>10765</v>
      </c>
      <c r="AE61" s="32">
        <v>0</v>
      </c>
      <c r="AF61" s="32">
        <v>3</v>
      </c>
      <c r="AG61" s="32">
        <v>0</v>
      </c>
      <c r="AH61" s="37">
        <v>36</v>
      </c>
      <c r="AI61" s="39">
        <f t="shared" si="61"/>
        <v>2.5000000000000001E-2</v>
      </c>
      <c r="AK61" s="9">
        <f t="shared" si="62"/>
        <v>0.41666666666666669</v>
      </c>
      <c r="AL61" s="9">
        <f t="shared" si="63"/>
        <v>0.33333333333333331</v>
      </c>
      <c r="AM61" s="6">
        <f t="shared" si="64"/>
        <v>2.3611111111111112</v>
      </c>
      <c r="AN61" s="8">
        <f t="shared" si="65"/>
        <v>1</v>
      </c>
      <c r="AO61" s="8">
        <f t="shared" si="66"/>
        <v>0</v>
      </c>
      <c r="AP61" s="40">
        <f t="shared" si="67"/>
        <v>2672.3055555555557</v>
      </c>
      <c r="AQ61" s="40" t="str">
        <f t="shared" si="68"/>
        <v xml:space="preserve"> </v>
      </c>
      <c r="AR61" s="40" t="str">
        <f t="shared" si="69"/>
        <v xml:space="preserve"> </v>
      </c>
      <c r="AS61" s="40"/>
      <c r="AT61" s="40">
        <f t="shared" si="70"/>
        <v>1534.1111111111111</v>
      </c>
    </row>
    <row r="62" spans="1:46" ht="15" customHeight="1" x14ac:dyDescent="0.25">
      <c r="A62" s="6">
        <f t="shared" si="50"/>
        <v>2.3530069102019429</v>
      </c>
      <c r="B62" s="7" t="s">
        <v>14</v>
      </c>
      <c r="C62" s="22" t="s">
        <v>40</v>
      </c>
      <c r="D62" s="13" t="str">
        <f t="shared" si="49"/>
        <v>Projectile Repeater</v>
      </c>
      <c r="E62" s="4" t="s">
        <v>65</v>
      </c>
      <c r="F62" s="4" t="s">
        <v>63</v>
      </c>
      <c r="H62" s="32">
        <f t="shared" si="51"/>
        <v>13</v>
      </c>
      <c r="I62" s="8">
        <f t="shared" si="52"/>
        <v>0.46153846153846156</v>
      </c>
      <c r="J62" s="9">
        <f t="shared" si="53"/>
        <v>2.907142857142857</v>
      </c>
      <c r="K62" s="40">
        <f t="shared" si="54"/>
        <v>5201.6444444444442</v>
      </c>
      <c r="L62" s="40">
        <f t="shared" si="55"/>
        <v>5703</v>
      </c>
      <c r="M62" s="40">
        <f t="shared" si="56"/>
        <v>369.86666666666667</v>
      </c>
      <c r="O62" s="10">
        <f t="shared" si="57"/>
        <v>11</v>
      </c>
      <c r="P62" s="10">
        <f t="shared" si="58"/>
        <v>11</v>
      </c>
      <c r="Q62" s="10">
        <f t="shared" si="59"/>
        <v>7</v>
      </c>
      <c r="R62" s="9">
        <f t="shared" si="60"/>
        <v>0.63636363636363635</v>
      </c>
      <c r="T62" s="5" t="s">
        <v>164</v>
      </c>
      <c r="U62" s="32">
        <v>49932</v>
      </c>
      <c r="V62" s="32">
        <v>76</v>
      </c>
      <c r="W62" s="32">
        <v>70</v>
      </c>
      <c r="X62" s="37">
        <v>255</v>
      </c>
      <c r="Y62" s="37">
        <v>702222</v>
      </c>
      <c r="Z62" s="37">
        <v>551806</v>
      </c>
      <c r="AA62" s="37">
        <v>620848</v>
      </c>
      <c r="AB62" s="37">
        <v>0</v>
      </c>
      <c r="AC62" s="37">
        <v>769905</v>
      </c>
      <c r="AD62" s="37">
        <v>323783</v>
      </c>
      <c r="AE62" s="37">
        <v>571</v>
      </c>
      <c r="AF62" s="32">
        <v>6</v>
      </c>
      <c r="AG62" s="32">
        <v>7</v>
      </c>
      <c r="AH62" s="37">
        <v>135</v>
      </c>
      <c r="AI62" s="39">
        <f t="shared" si="61"/>
        <v>9.375E-2</v>
      </c>
      <c r="AK62" s="9">
        <f t="shared" si="62"/>
        <v>0.562962962962963</v>
      </c>
      <c r="AL62" s="9">
        <f t="shared" si="63"/>
        <v>0.51851851851851849</v>
      </c>
      <c r="AM62" s="6">
        <f t="shared" si="64"/>
        <v>1.8888888888888888</v>
      </c>
      <c r="AN62" s="8">
        <f t="shared" si="65"/>
        <v>0.78579993221516842</v>
      </c>
      <c r="AO62" s="8">
        <f t="shared" si="66"/>
        <v>0.21420006778483158</v>
      </c>
      <c r="AP62" s="40">
        <f t="shared" si="67"/>
        <v>4598.8740740740741</v>
      </c>
      <c r="AQ62" s="40">
        <f t="shared" si="68"/>
        <v>4.2296296296296294</v>
      </c>
      <c r="AR62" s="40" t="str">
        <f t="shared" si="69"/>
        <v xml:space="preserve"> </v>
      </c>
      <c r="AS62" s="40"/>
      <c r="AT62" s="40">
        <f t="shared" si="70"/>
        <v>8101.3925925925923</v>
      </c>
    </row>
    <row r="63" spans="1:46" ht="15" customHeight="1" x14ac:dyDescent="0.25">
      <c r="A63" s="6">
        <f t="shared" si="50"/>
        <v>22.028603527180667</v>
      </c>
      <c r="B63" s="7" t="s">
        <v>52</v>
      </c>
      <c r="C63" s="22" t="s">
        <v>40</v>
      </c>
      <c r="D63" s="13" t="str">
        <f t="shared" si="49"/>
        <v>Projectile Arc</v>
      </c>
      <c r="E63" s="4" t="s">
        <v>65</v>
      </c>
      <c r="F63" s="4" t="s">
        <v>66</v>
      </c>
      <c r="H63" s="32">
        <f t="shared" si="51"/>
        <v>41</v>
      </c>
      <c r="I63" s="8">
        <f t="shared" si="52"/>
        <v>0.46341463414634149</v>
      </c>
      <c r="J63" s="9">
        <f t="shared" si="53"/>
        <v>2.6111111111111112</v>
      </c>
      <c r="K63" s="40">
        <f t="shared" si="54"/>
        <v>1899.4719827586207</v>
      </c>
      <c r="L63" s="40">
        <f t="shared" si="55"/>
        <v>8587.7219827586214</v>
      </c>
      <c r="M63" s="40">
        <f t="shared" si="56"/>
        <v>269.58620689655174</v>
      </c>
      <c r="O63" s="10">
        <f t="shared" si="57"/>
        <v>33</v>
      </c>
      <c r="P63" s="10">
        <f t="shared" si="58"/>
        <v>33</v>
      </c>
      <c r="Q63" s="10">
        <f t="shared" si="59"/>
        <v>67</v>
      </c>
      <c r="R63" s="9">
        <f t="shared" si="60"/>
        <v>2.0303030303030303</v>
      </c>
      <c r="T63" s="5" t="s">
        <v>166</v>
      </c>
      <c r="U63" s="32">
        <v>125088</v>
      </c>
      <c r="V63" s="32">
        <v>89</v>
      </c>
      <c r="W63" s="32">
        <v>171</v>
      </c>
      <c r="X63" s="37">
        <v>715</v>
      </c>
      <c r="Y63" s="37">
        <v>881355</v>
      </c>
      <c r="Z63" s="37">
        <v>448316</v>
      </c>
      <c r="AA63" s="37">
        <v>1020307</v>
      </c>
      <c r="AB63" s="37">
        <v>0</v>
      </c>
      <c r="AC63" s="37">
        <v>3984703</v>
      </c>
      <c r="AD63" s="37">
        <v>482723</v>
      </c>
      <c r="AE63" s="37">
        <v>2079</v>
      </c>
      <c r="AF63" s="32">
        <v>19</v>
      </c>
      <c r="AG63" s="32">
        <v>22</v>
      </c>
      <c r="AH63" s="37">
        <v>464</v>
      </c>
      <c r="AI63" s="39">
        <f t="shared" si="61"/>
        <v>0.32222222222222224</v>
      </c>
      <c r="AK63" s="9">
        <f t="shared" si="62"/>
        <v>0.19181034482758622</v>
      </c>
      <c r="AL63" s="9">
        <f t="shared" si="63"/>
        <v>0.36853448275862066</v>
      </c>
      <c r="AM63" s="6">
        <f t="shared" si="64"/>
        <v>1.540948275862069</v>
      </c>
      <c r="AN63" s="8">
        <f t="shared" si="65"/>
        <v>0.50866676878215933</v>
      </c>
      <c r="AO63" s="8">
        <f t="shared" si="66"/>
        <v>0.49133323121784073</v>
      </c>
      <c r="AP63" s="40">
        <f t="shared" si="67"/>
        <v>2198.9375</v>
      </c>
      <c r="AQ63" s="40">
        <f t="shared" si="68"/>
        <v>4.4806034482758621</v>
      </c>
      <c r="AR63" s="40" t="str">
        <f t="shared" si="69"/>
        <v xml:space="preserve"> </v>
      </c>
      <c r="AS63" s="40"/>
      <c r="AT63" s="40">
        <f t="shared" si="70"/>
        <v>9628.0732758620688</v>
      </c>
    </row>
    <row r="64" spans="1:46" ht="15" customHeight="1" x14ac:dyDescent="0.25">
      <c r="A64" s="6">
        <f t="shared" si="50"/>
        <v>2.4559897641823389</v>
      </c>
      <c r="B64" s="7" t="s">
        <v>7</v>
      </c>
      <c r="C64" s="22" t="s">
        <v>40</v>
      </c>
      <c r="D64" s="13" t="str">
        <f t="shared" si="49"/>
        <v>Projectile Tracking</v>
      </c>
      <c r="E64" s="4" t="s">
        <v>65</v>
      </c>
      <c r="F64" s="4" t="s">
        <v>91</v>
      </c>
      <c r="H64" s="32">
        <f t="shared" si="51"/>
        <v>27</v>
      </c>
      <c r="I64" s="8">
        <f t="shared" si="52"/>
        <v>0.14814814814814814</v>
      </c>
      <c r="J64" s="9">
        <f t="shared" si="53"/>
        <v>1.4264705882352942</v>
      </c>
      <c r="K64" s="40">
        <f t="shared" si="54"/>
        <v>1493.7074829931973</v>
      </c>
      <c r="L64" s="40">
        <f t="shared" si="55"/>
        <v>5664.9183673469388</v>
      </c>
      <c r="M64" s="40">
        <f t="shared" si="56"/>
        <v>232.17687074829931</v>
      </c>
      <c r="O64" s="10">
        <f t="shared" si="57"/>
        <v>50</v>
      </c>
      <c r="P64" s="10">
        <f t="shared" si="58"/>
        <v>50</v>
      </c>
      <c r="Q64" s="10">
        <f t="shared" si="59"/>
        <v>214</v>
      </c>
      <c r="R64" s="9">
        <f t="shared" si="60"/>
        <v>4.28</v>
      </c>
      <c r="T64" s="5" t="s">
        <v>168</v>
      </c>
      <c r="U64" s="32">
        <v>68260</v>
      </c>
      <c r="V64" s="32">
        <v>42</v>
      </c>
      <c r="W64" s="32">
        <v>136</v>
      </c>
      <c r="X64" s="37">
        <v>304</v>
      </c>
      <c r="Y64" s="37">
        <v>439150</v>
      </c>
      <c r="Z64" s="37">
        <v>400053</v>
      </c>
      <c r="AA64" s="37">
        <v>744641</v>
      </c>
      <c r="AB64" s="37">
        <v>0</v>
      </c>
      <c r="AC64" s="37">
        <v>1665486</v>
      </c>
      <c r="AD64" s="37">
        <v>268806</v>
      </c>
      <c r="AE64" s="37">
        <v>487</v>
      </c>
      <c r="AF64" s="32">
        <v>4</v>
      </c>
      <c r="AG64" s="32">
        <v>23</v>
      </c>
      <c r="AH64" s="37">
        <v>294</v>
      </c>
      <c r="AI64" s="39">
        <f t="shared" si="61"/>
        <v>0.20416666666666666</v>
      </c>
      <c r="AK64" s="9">
        <f t="shared" si="62"/>
        <v>0.14285714285714285</v>
      </c>
      <c r="AL64" s="9">
        <f t="shared" si="63"/>
        <v>0.46258503401360546</v>
      </c>
      <c r="AM64" s="6">
        <f t="shared" si="64"/>
        <v>1.0340136054421769</v>
      </c>
      <c r="AN64" s="8">
        <f t="shared" si="65"/>
        <v>0.91097119435272689</v>
      </c>
      <c r="AO64" s="8">
        <f t="shared" si="66"/>
        <v>8.902880564727314E-2</v>
      </c>
      <c r="AP64" s="40">
        <f t="shared" si="67"/>
        <v>2532.7925170068029</v>
      </c>
      <c r="AQ64" s="40">
        <f t="shared" si="68"/>
        <v>1.6564625850340136</v>
      </c>
      <c r="AR64" s="40" t="str">
        <f t="shared" si="69"/>
        <v xml:space="preserve"> </v>
      </c>
      <c r="AS64" s="40"/>
      <c r="AT64" s="40">
        <f t="shared" si="70"/>
        <v>6579.2244897959181</v>
      </c>
    </row>
  </sheetData>
  <autoFilter ref="A15:AT15" xr:uid="{6BD8CC1A-3F48-4301-B6E5-53F6158EDE9E}">
    <sortState xmlns:xlrd2="http://schemas.microsoft.com/office/spreadsheetml/2017/richdata2" ref="A16:AT64">
      <sortCondition ref="C15"/>
    </sortState>
  </autoFilter>
  <mergeCells count="2">
    <mergeCell ref="A1:A6"/>
    <mergeCell ref="A8:A14"/>
  </mergeCells>
  <conditionalFormatting sqref="A16:A64">
    <cfRule type="colorScale" priority="47">
      <colorScale>
        <cfvo type="min"/>
        <cfvo type="max"/>
        <color rgb="FFFFEF9C"/>
        <color rgb="FF63BE7B"/>
      </colorScale>
    </cfRule>
  </conditionalFormatting>
  <conditionalFormatting sqref="H16:H64">
    <cfRule type="colorScale" priority="46">
      <colorScale>
        <cfvo type="min"/>
        <cfvo type="formula" val="$F$2"/>
        <color rgb="FFFFEF9C"/>
        <color rgb="FF63BE7B"/>
      </colorScale>
    </cfRule>
  </conditionalFormatting>
  <conditionalFormatting sqref="I16:I64">
    <cfRule type="colorScale" priority="45">
      <colorScale>
        <cfvo type="min"/>
        <cfvo type="formula" val="$D$2"/>
        <color rgb="FFFFEF9C"/>
        <color rgb="FF63BE7B"/>
      </colorScale>
    </cfRule>
  </conditionalFormatting>
  <conditionalFormatting sqref="J16:J64">
    <cfRule type="colorScale" priority="44">
      <colorScale>
        <cfvo type="min"/>
        <cfvo type="formula" val="$E$2"/>
        <color rgb="FFFFEF9C"/>
        <color rgb="FF63BE7B"/>
      </colorScale>
    </cfRule>
  </conditionalFormatting>
  <conditionalFormatting sqref="O16:O64">
    <cfRule type="colorScale" priority="43">
      <colorScale>
        <cfvo type="min"/>
        <cfvo type="max"/>
        <color rgb="FF63BE7B"/>
        <color rgb="FFFFEF9C"/>
      </colorScale>
    </cfRule>
  </conditionalFormatting>
  <conditionalFormatting sqref="Q16:Q64">
    <cfRule type="colorScale" priority="42">
      <colorScale>
        <cfvo type="min"/>
        <cfvo type="max"/>
        <color rgb="FF63BE7B"/>
        <color rgb="FFFFEF9C"/>
      </colorScale>
    </cfRule>
  </conditionalFormatting>
  <conditionalFormatting sqref="R16:R64">
    <cfRule type="colorScale" priority="41">
      <colorScale>
        <cfvo type="min"/>
        <cfvo type="max"/>
        <color rgb="FF63BE7B"/>
        <color rgb="FFFFEF9C"/>
      </colorScale>
    </cfRule>
  </conditionalFormatting>
  <conditionalFormatting sqref="B3:B7">
    <cfRule type="colorScale" priority="40">
      <colorScale>
        <cfvo type="min"/>
        <cfvo type="max"/>
        <color rgb="FFFFEF9C"/>
        <color rgb="FF63BE7B"/>
      </colorScale>
    </cfRule>
  </conditionalFormatting>
  <conditionalFormatting sqref="B8:B14">
    <cfRule type="colorScale" priority="36">
      <colorScale>
        <cfvo type="min"/>
        <cfvo type="max"/>
        <color rgb="FFFFEF9C"/>
        <color rgb="FF63BE7B"/>
      </colorScale>
    </cfRule>
  </conditionalFormatting>
  <conditionalFormatting sqref="H3:H7">
    <cfRule type="colorScale" priority="39">
      <colorScale>
        <cfvo type="min"/>
        <cfvo type="max"/>
        <color rgb="FFFFEF9C"/>
        <color rgb="FF63BE7B"/>
      </colorScale>
    </cfRule>
  </conditionalFormatting>
  <conditionalFormatting sqref="I3:I7">
    <cfRule type="colorScale" priority="38">
      <colorScale>
        <cfvo type="min"/>
        <cfvo type="max"/>
        <color rgb="FFFFEF9C"/>
        <color rgb="FF63BE7B"/>
      </colorScale>
    </cfRule>
  </conditionalFormatting>
  <conditionalFormatting sqref="J3:J7">
    <cfRule type="colorScale" priority="37">
      <colorScale>
        <cfvo type="min"/>
        <cfvo type="max"/>
        <color rgb="FFFFEF9C"/>
        <color rgb="FF63BE7B"/>
      </colorScale>
    </cfRule>
  </conditionalFormatting>
  <conditionalFormatting sqref="B3:B6">
    <cfRule type="colorScale" priority="35">
      <colorScale>
        <cfvo type="min"/>
        <cfvo type="max"/>
        <color rgb="FFFFEF9C"/>
        <color rgb="FF63BE7B"/>
      </colorScale>
    </cfRule>
  </conditionalFormatting>
  <conditionalFormatting sqref="B16:B64">
    <cfRule type="expression" dxfId="14" priority="34">
      <formula>IF(H16=" "," ",AND(I16&gt;=SUMIF($C$3:$C$6,$C16,$D$3:$D$6),J16&gt;=SUMIF($C$3:$C$6,$C16,$E$3:$E$6),H16&gt;=SUMIF($C$3:$C$6,$C16,$F$3:$F$6)))</formula>
    </cfRule>
  </conditionalFormatting>
  <conditionalFormatting sqref="AI16:AI64">
    <cfRule type="colorScale" priority="33">
      <colorScale>
        <cfvo type="min"/>
        <cfvo type="max"/>
        <color rgb="FFFFEF9C"/>
        <color rgb="FF63BE7B"/>
      </colorScale>
    </cfRule>
  </conditionalFormatting>
  <conditionalFormatting sqref="K16:K31">
    <cfRule type="colorScale" priority="32">
      <colorScale>
        <cfvo type="min"/>
        <cfvo type="max"/>
        <color rgb="FFFFEF9C"/>
        <color rgb="FF63BE7B"/>
      </colorScale>
    </cfRule>
  </conditionalFormatting>
  <conditionalFormatting sqref="K32:K42">
    <cfRule type="colorScale" priority="31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30">
      <colorScale>
        <cfvo type="min"/>
        <cfvo type="max"/>
        <color rgb="FFFFEF9C"/>
        <color rgb="FF63BE7B"/>
      </colorScale>
    </cfRule>
  </conditionalFormatting>
  <conditionalFormatting sqref="L54:L64">
    <cfRule type="colorScale" priority="29">
      <colorScale>
        <cfvo type="min"/>
        <cfvo type="max"/>
        <color rgb="FFFFEF9C"/>
        <color rgb="FF63BE7B"/>
      </colorScale>
    </cfRule>
  </conditionalFormatting>
  <conditionalFormatting sqref="K54:K64">
    <cfRule type="colorScale" priority="28">
      <colorScale>
        <cfvo type="min"/>
        <cfvo type="max"/>
        <color rgb="FFFFEF9C"/>
        <color rgb="FF63BE7B"/>
      </colorScale>
    </cfRule>
  </conditionalFormatting>
  <conditionalFormatting sqref="M16:M31">
    <cfRule type="colorScale" priority="27">
      <colorScale>
        <cfvo type="min"/>
        <cfvo type="max"/>
        <color rgb="FFFFEF9C"/>
        <color rgb="FF63BE7B"/>
      </colorScale>
    </cfRule>
  </conditionalFormatting>
  <conditionalFormatting sqref="M32:M42">
    <cfRule type="colorScale" priority="25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:M53">
    <cfRule type="colorScale" priority="24">
      <colorScale>
        <cfvo type="min"/>
        <cfvo type="max"/>
        <color rgb="FFFFEF9C"/>
        <color rgb="FF63BE7B"/>
      </colorScale>
    </cfRule>
  </conditionalFormatting>
  <conditionalFormatting sqref="M54:M64">
    <cfRule type="colorScale" priority="23">
      <colorScale>
        <cfvo type="min"/>
        <cfvo type="max"/>
        <color rgb="FFFFEF9C"/>
        <color rgb="FF63BE7B"/>
      </colorScale>
    </cfRule>
  </conditionalFormatting>
  <conditionalFormatting sqref="AK16:AK31">
    <cfRule type="colorScale" priority="22">
      <colorScale>
        <cfvo type="min"/>
        <cfvo type="max"/>
        <color rgb="FFFFEF9C"/>
        <color rgb="FF63BE7B"/>
      </colorScale>
    </cfRule>
  </conditionalFormatting>
  <conditionalFormatting sqref="AL16:AL31">
    <cfRule type="colorScale" priority="21">
      <colorScale>
        <cfvo type="min"/>
        <cfvo type="max"/>
        <color rgb="FF63BE7B"/>
        <color rgb="FFFFEF9C"/>
      </colorScale>
    </cfRule>
  </conditionalFormatting>
  <conditionalFormatting sqref="AK32:AK42">
    <cfRule type="colorScale" priority="20">
      <colorScale>
        <cfvo type="min"/>
        <cfvo type="max"/>
        <color rgb="FFFFEF9C"/>
        <color rgb="FF63BE7B"/>
      </colorScale>
    </cfRule>
  </conditionalFormatting>
  <conditionalFormatting sqref="AL32:AL42">
    <cfRule type="colorScale" priority="19">
      <colorScale>
        <cfvo type="min"/>
        <cfvo type="max"/>
        <color rgb="FFFFEF9C"/>
        <color rgb="FF63BE7B"/>
      </colorScale>
    </cfRule>
  </conditionalFormatting>
  <conditionalFormatting sqref="AL43:AL53">
    <cfRule type="colorScale" priority="18">
      <colorScale>
        <cfvo type="min"/>
        <cfvo type="max"/>
        <color rgb="FF63BE7B"/>
        <color rgb="FFFFEF9C"/>
      </colorScale>
    </cfRule>
  </conditionalFormatting>
  <conditionalFormatting sqref="AL54:AL64">
    <cfRule type="colorScale" priority="17">
      <colorScale>
        <cfvo type="min"/>
        <cfvo type="max"/>
        <color rgb="FF63BE7B"/>
        <color rgb="FFFFEF9C"/>
      </colorScale>
    </cfRule>
  </conditionalFormatting>
  <conditionalFormatting sqref="AM54:AM64">
    <cfRule type="colorScale" priority="16">
      <colorScale>
        <cfvo type="min"/>
        <cfvo type="max"/>
        <color rgb="FFFFEF9C"/>
        <color rgb="FF63BE7B"/>
      </colorScale>
    </cfRule>
  </conditionalFormatting>
  <conditionalFormatting sqref="AP16:AP31">
    <cfRule type="colorScale" priority="15">
      <colorScale>
        <cfvo type="min"/>
        <cfvo type="max"/>
        <color rgb="FF63BE7B"/>
        <color rgb="FFFFEF9C"/>
      </colorScale>
    </cfRule>
  </conditionalFormatting>
  <conditionalFormatting sqref="AP32:AP42">
    <cfRule type="colorScale" priority="14">
      <colorScale>
        <cfvo type="min"/>
        <cfvo type="max"/>
        <color rgb="FF63BE7B"/>
        <color rgb="FFFFEF9C"/>
      </colorScale>
    </cfRule>
  </conditionalFormatting>
  <conditionalFormatting sqref="AP54:AP64">
    <cfRule type="colorScale" priority="13">
      <colorScale>
        <cfvo type="min"/>
        <cfvo type="max"/>
        <color rgb="FF63BE7B"/>
        <color rgb="FFFFEF9C"/>
      </colorScale>
    </cfRule>
  </conditionalFormatting>
  <conditionalFormatting sqref="AT54:AT64">
    <cfRule type="colorScale" priority="12">
      <colorScale>
        <cfvo type="min"/>
        <cfvo type="max"/>
        <color rgb="FFFFEF9C"/>
        <color rgb="FF63BE7B"/>
      </colorScale>
    </cfRule>
  </conditionalFormatting>
  <conditionalFormatting sqref="AI3:AI6">
    <cfRule type="colorScale" priority="11">
      <colorScale>
        <cfvo type="min"/>
        <cfvo type="max"/>
        <color rgb="FFFFEF9C"/>
        <color rgb="FF63BE7B"/>
      </colorScale>
    </cfRule>
  </conditionalFormatting>
  <conditionalFormatting sqref="O3:O6">
    <cfRule type="colorScale" priority="10">
      <colorScale>
        <cfvo type="min"/>
        <cfvo type="max"/>
        <color rgb="FF63BE7B"/>
        <color rgb="FFFFEF9C"/>
      </colorScale>
    </cfRule>
  </conditionalFormatting>
  <conditionalFormatting sqref="Q3:Q6">
    <cfRule type="colorScale" priority="9">
      <colorScale>
        <cfvo type="min"/>
        <cfvo type="max"/>
        <color rgb="FF63BE7B"/>
        <color rgb="FFFFEF9C"/>
      </colorScale>
    </cfRule>
  </conditionalFormatting>
  <conditionalFormatting sqref="R3:R6">
    <cfRule type="colorScale" priority="8">
      <colorScale>
        <cfvo type="min"/>
        <cfvo type="max"/>
        <color rgb="FF63BE7B"/>
        <color rgb="FFFFEF9C"/>
      </colorScale>
    </cfRule>
  </conditionalFormatting>
  <conditionalFormatting sqref="I8:I14">
    <cfRule type="colorScale" priority="7">
      <colorScale>
        <cfvo type="min"/>
        <cfvo type="max"/>
        <color rgb="FFFFEF9C"/>
        <color rgb="FF63BE7B"/>
      </colorScale>
    </cfRule>
  </conditionalFormatting>
  <conditionalFormatting sqref="J8:J14">
    <cfRule type="colorScale" priority="6">
      <colorScale>
        <cfvo type="min"/>
        <cfvo type="max"/>
        <color rgb="FFFFEF9C"/>
        <color rgb="FF63BE7B"/>
      </colorScale>
    </cfRule>
  </conditionalFormatting>
  <conditionalFormatting sqref="H8:H14">
    <cfRule type="colorScale" priority="5">
      <colorScale>
        <cfvo type="min"/>
        <cfvo type="max"/>
        <color rgb="FFFFEF9C"/>
        <color rgb="FF63BE7B"/>
      </colorScale>
    </cfRule>
  </conditionalFormatting>
  <conditionalFormatting sqref="O8:O14">
    <cfRule type="colorScale" priority="4">
      <colorScale>
        <cfvo type="min"/>
        <cfvo type="max"/>
        <color rgb="FF63BE7B"/>
        <color rgb="FFFFEF9C"/>
      </colorScale>
    </cfRule>
  </conditionalFormatting>
  <conditionalFormatting sqref="Q8:Q14">
    <cfRule type="colorScale" priority="3">
      <colorScale>
        <cfvo type="min"/>
        <cfvo type="max"/>
        <color rgb="FF63BE7B"/>
        <color rgb="FFFFEF9C"/>
      </colorScale>
    </cfRule>
  </conditionalFormatting>
  <conditionalFormatting sqref="R8:R14">
    <cfRule type="colorScale" priority="2">
      <colorScale>
        <cfvo type="min"/>
        <cfvo type="max"/>
        <color rgb="FF63BE7B"/>
        <color rgb="FFFFEF9C"/>
      </colorScale>
    </cfRule>
  </conditionalFormatting>
  <conditionalFormatting sqref="AI8:AI14">
    <cfRule type="colorScale" priority="1">
      <colorScale>
        <cfvo type="min"/>
        <cfvo type="max"/>
        <color rgb="FFFFEF9C"/>
        <color rgb="FF63BE7B"/>
      </colorScale>
    </cfRule>
  </conditionalFormatting>
  <hyperlinks>
    <hyperlink ref="A1" r:id="rId1" xr:uid="{A307501F-1393-4A47-9DD6-635311F351DE}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5" name="Button 1">
              <controlPr defaultSize="0" print="0" autoFill="0" autoPict="0" macro="[0]!WebData">
                <anchor moveWithCells="1" siz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8" operator="containsText" id="{305708D9-C1E5-4085-90FC-984A0937E9E7}">
            <xm:f>NOT(ISERROR(SEARCH($C$6,C1)))</xm:f>
            <xm:f>$C$6</xm:f>
            <x14:dxf>
              <fill>
                <patternFill>
                  <bgColor theme="4" tint="0.79998168889431442"/>
                </patternFill>
              </fill>
              <border>
                <left style="thin">
                  <color theme="8"/>
                </left>
                <right style="thin">
                  <color theme="8"/>
                </right>
                <top style="thin">
                  <color theme="8"/>
                </top>
                <bottom style="thin">
                  <color theme="8"/>
                </bottom>
                <vertical/>
                <horizontal/>
              </border>
            </x14:dxf>
          </x14:cfRule>
          <x14:cfRule type="containsText" priority="49" operator="containsText" id="{8D0D1502-A7F4-440E-B1C8-D54CB594E552}">
            <xm:f>NOT(ISERROR(SEARCH($C$5,C1)))</xm:f>
            <xm:f>$C$5</xm:f>
            <x14:dxf>
              <fill>
                <patternFill>
                  <bgColor rgb="FFE1A3DE"/>
                </patternFill>
              </fill>
              <border>
                <left style="thin">
                  <color rgb="FF7030A0"/>
                </left>
                <right style="thin">
                  <color rgb="FF7030A0"/>
                </right>
                <top style="thin">
                  <color rgb="FF7030A0"/>
                </top>
                <bottom style="thin">
                  <color rgb="FF7030A0"/>
                </bottom>
                <vertical/>
                <horizontal/>
              </border>
            </x14:dxf>
          </x14:cfRule>
          <x14:cfRule type="containsText" priority="50" operator="containsText" id="{3F535E0D-C9EA-4F9F-A735-0F4689D42DDF}">
            <xm:f>NOT(ISERROR(SEARCH($C$4,C1)))</xm:f>
            <xm:f>$C$4</xm:f>
            <x14:dxf>
              <fill>
                <patternFill>
                  <bgColor theme="9" tint="0.59996337778862885"/>
                </patternFill>
              </fill>
              <border>
                <left style="thin">
                  <color theme="9"/>
                </left>
                <right style="thin">
                  <color theme="9"/>
                </right>
                <top style="thin">
                  <color theme="9"/>
                </top>
                <bottom style="thin">
                  <color theme="9"/>
                </bottom>
                <vertical/>
                <horizontal/>
              </border>
            </x14:dxf>
          </x14:cfRule>
          <x14:cfRule type="containsText" priority="51" operator="containsText" id="{C66996CB-A95E-4513-9A81-1D7F34DA55A8}">
            <xm:f>NOT(ISERROR(SEARCH($C$3,C1)))</xm:f>
            <xm:f>$C$3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5"/>
                </left>
                <right style="thin">
                  <color theme="5"/>
                </right>
                <top style="thin">
                  <color theme="5"/>
                </top>
                <bottom style="thin">
                  <color theme="5"/>
                </bottom>
                <vertical/>
                <horizontal/>
              </border>
            </x14:dxf>
          </x14:cfRule>
          <xm:sqref>C1:C1048576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B3559-1AC5-436A-94D3-8869AEC8BA0E}">
  <sheetPr codeName="Sheet12"/>
  <dimension ref="A1:AT64"/>
  <sheetViews>
    <sheetView zoomScale="85" zoomScaleNormal="85" workbookViewId="0">
      <pane ySplit="15" topLeftCell="A16" activePane="bottomLeft" state="frozen"/>
      <selection pane="bottomLeft" activeCell="L26" sqref="L26"/>
    </sheetView>
  </sheetViews>
  <sheetFormatPr defaultColWidth="9.140625" defaultRowHeight="15" x14ac:dyDescent="0.25"/>
  <cols>
    <col min="1" max="1" width="10" style="6" bestFit="1" customWidth="1"/>
    <col min="2" max="2" width="11.140625" style="4" bestFit="1" customWidth="1"/>
    <col min="3" max="3" width="10.7109375" style="22" customWidth="1"/>
    <col min="4" max="4" width="15.85546875" style="13" hidden="1" customWidth="1"/>
    <col min="5" max="6" width="10.7109375" style="4" hidden="1" customWidth="1"/>
    <col min="7" max="7" width="2.140625" style="6" customWidth="1"/>
    <col min="8" max="8" width="7.7109375" style="5" customWidth="1"/>
    <col min="9" max="9" width="7.85546875" style="8" customWidth="1"/>
    <col min="10" max="10" width="7.7109375" style="6" customWidth="1"/>
    <col min="11" max="13" width="10.7109375" style="6" customWidth="1"/>
    <col min="14" max="14" width="1.42578125" style="6" customWidth="1"/>
    <col min="15" max="15" width="10.85546875" style="5" customWidth="1"/>
    <col min="16" max="16" width="8.85546875" style="5" hidden="1" customWidth="1"/>
    <col min="17" max="17" width="10.140625" style="5" customWidth="1"/>
    <col min="18" max="18" width="12.7109375" style="6" customWidth="1"/>
    <col min="19" max="19" width="1.42578125" style="6" customWidth="1"/>
    <col min="20" max="20" width="15.7109375" style="5" hidden="1" customWidth="1"/>
    <col min="21" max="34" width="15.7109375" style="32" hidden="1" customWidth="1"/>
    <col min="35" max="35" width="9.28515625" style="11" customWidth="1"/>
    <col min="36" max="36" width="1.42578125" style="6" customWidth="1"/>
    <col min="37" max="39" width="5.7109375" style="6" customWidth="1"/>
    <col min="40" max="41" width="8.7109375" style="8" customWidth="1"/>
    <col min="42" max="42" width="9.7109375" style="6" customWidth="1"/>
    <col min="43" max="43" width="7.85546875" style="6" customWidth="1"/>
    <col min="44" max="44" width="9.7109375" style="6" customWidth="1"/>
    <col min="45" max="45" width="1.42578125" style="6" customWidth="1"/>
    <col min="46" max="46" width="10.7109375" style="4" customWidth="1"/>
    <col min="47" max="16384" width="9.140625" style="4"/>
  </cols>
  <sheetData>
    <row r="1" spans="1:46" s="15" customFormat="1" ht="15" customHeight="1" x14ac:dyDescent="0.25">
      <c r="A1" s="51" t="s">
        <v>170</v>
      </c>
      <c r="B1" s="15" t="s">
        <v>60</v>
      </c>
      <c r="C1" s="20" t="s">
        <v>88</v>
      </c>
      <c r="D1" s="16" t="s">
        <v>79</v>
      </c>
      <c r="E1" s="15" t="s">
        <v>56</v>
      </c>
      <c r="F1" s="15" t="s">
        <v>80</v>
      </c>
      <c r="G1" s="18"/>
      <c r="H1" s="15" t="s">
        <v>59</v>
      </c>
      <c r="I1" s="16" t="s">
        <v>61</v>
      </c>
      <c r="J1" s="14" t="s">
        <v>46</v>
      </c>
      <c r="K1" s="14" t="s">
        <v>84</v>
      </c>
      <c r="L1" s="14" t="s">
        <v>83</v>
      </c>
      <c r="M1" s="14" t="s">
        <v>71</v>
      </c>
      <c r="N1" s="18"/>
      <c r="O1" s="14" t="s">
        <v>57</v>
      </c>
      <c r="P1" s="14" t="s">
        <v>86</v>
      </c>
      <c r="Q1" s="14" t="s">
        <v>58</v>
      </c>
      <c r="R1" s="14" t="s">
        <v>70</v>
      </c>
      <c r="S1" s="14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 t="s">
        <v>101</v>
      </c>
      <c r="AI1" s="17" t="s">
        <v>73</v>
      </c>
      <c r="AJ1" s="18"/>
      <c r="AK1" s="14" t="s">
        <v>74</v>
      </c>
      <c r="AL1" s="14" t="s">
        <v>75</v>
      </c>
      <c r="AM1" s="14" t="s">
        <v>76</v>
      </c>
      <c r="AN1" s="16" t="s">
        <v>81</v>
      </c>
      <c r="AO1" s="16" t="s">
        <v>82</v>
      </c>
      <c r="AP1" s="14" t="s">
        <v>103</v>
      </c>
      <c r="AQ1" s="14" t="s">
        <v>85</v>
      </c>
      <c r="AR1" s="14" t="s">
        <v>104</v>
      </c>
      <c r="AS1" s="18"/>
      <c r="AT1" s="15" t="s">
        <v>102</v>
      </c>
    </row>
    <row r="2" spans="1:46" s="31" customFormat="1" x14ac:dyDescent="0.25">
      <c r="A2" s="52"/>
      <c r="B2" s="26">
        <f>J2*(LOG(H2))*I2</f>
        <v>5.9250181576635592</v>
      </c>
      <c r="C2" s="27" t="s">
        <v>78</v>
      </c>
      <c r="D2" s="28">
        <f>AVERAGE(D3:D6)</f>
        <v>0.7</v>
      </c>
      <c r="E2" s="26">
        <f>AVERAGE(E3:E6)</f>
        <v>3</v>
      </c>
      <c r="F2" s="29">
        <f>AVERAGE(F3:F6)</f>
        <v>10</v>
      </c>
      <c r="G2" s="26"/>
      <c r="H2" s="29">
        <f>SUM(H16:H64)</f>
        <v>465</v>
      </c>
      <c r="I2" s="28">
        <f>SUM(AF16:AF64)/(SUM(AF16:AF64)+SUM(AG16:AG64))</f>
        <v>0.6645161290322581</v>
      </c>
      <c r="J2" s="26">
        <f>(SUM(V16:V64)+SUM(X16:X64)/2)/SUM(W16:W64)</f>
        <v>3.3426229508196723</v>
      </c>
      <c r="K2" s="26">
        <f>SUM(Y16:Y64)/SUM(AH16:AH64)</f>
        <v>6375.6143159877556</v>
      </c>
      <c r="L2" s="26">
        <f>SUM(AC16:AC64)/SUM(AH16:AH64)</f>
        <v>1495.2660701671768</v>
      </c>
      <c r="M2" s="26">
        <f>SUM(U16:U64)/SUM(AH16:AH64)</f>
        <v>388.78125735813518</v>
      </c>
      <c r="N2" s="26"/>
      <c r="O2" s="29">
        <f>((D2-1)*SUM(AF16:AF64)+D2*SUM(AG16:AG64))/(1-D3)</f>
        <v>54.999999999999901</v>
      </c>
      <c r="P2" s="29"/>
      <c r="Q2" s="29">
        <f>E2*SUM(W16:W64)-SUM(V16:V64)-SUM(X16:X64)/2</f>
        <v>-836</v>
      </c>
      <c r="R2" s="26">
        <f>IF(AND(O2&gt;0,Q2&gt;0),Q2/O2,(IF(AND(O2&lt;=0,Q2&gt;0),Q2,0)))</f>
        <v>0</v>
      </c>
      <c r="S2" s="26"/>
      <c r="T2" s="30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>
        <f>SUM(AH3:AH6)</f>
        <v>4247</v>
      </c>
      <c r="AI2" s="44">
        <f>IF(AH2&gt;0,AH2/1440," ")</f>
        <v>2.9493055555555556</v>
      </c>
      <c r="AJ2" s="26"/>
      <c r="AK2" s="26">
        <f>SUM(V16:V64)/SUM(AH16:AH64)</f>
        <v>1.2081469272427596</v>
      </c>
      <c r="AL2" s="26">
        <f>SUM(W16:W64)/SUM(AH16:AH64)</f>
        <v>0.57452319284200615</v>
      </c>
      <c r="AM2" s="26">
        <f>SUM(X16:X64)/SUM(AH16:AH64)</f>
        <v>1.4245349658582529</v>
      </c>
      <c r="AN2" s="28">
        <f>SUM(Z16:Z64)/SUM(Y16:Y64)</f>
        <v>0.80714909802086876</v>
      </c>
      <c r="AO2" s="28">
        <f>(SUM(Y16:Y64)-SUM(Z16:Z64))/SUM(Y16:Y64)</f>
        <v>0.19285090197913124</v>
      </c>
      <c r="AP2" s="26">
        <f>SUM(AA16:AA64)/SUM(AH16:AH64)</f>
        <v>4538.2964445490934</v>
      </c>
      <c r="AQ2" s="26">
        <f>SUM(AE16:AE64)/SUM(AH16:AH64)</f>
        <v>4.9543206969625615</v>
      </c>
      <c r="AR2" s="26">
        <f>SUM(AB16:AB64)/SUM(AH16:AH64)</f>
        <v>480.29079350129501</v>
      </c>
      <c r="AS2" s="26"/>
      <c r="AT2" s="31">
        <f>SUM(AT16:AT64)/SUM(AH16:AH64)</f>
        <v>17.726356889384121</v>
      </c>
    </row>
    <row r="3" spans="1:46" x14ac:dyDescent="0.25">
      <c r="A3" s="52"/>
      <c r="B3" s="6">
        <f>J3*(LOG(H3))*I3</f>
        <v>4.7353087131704861</v>
      </c>
      <c r="C3" s="21" t="s">
        <v>38</v>
      </c>
      <c r="D3" s="8">
        <v>0.7</v>
      </c>
      <c r="E3" s="6">
        <v>3</v>
      </c>
      <c r="F3" s="25">
        <v>10</v>
      </c>
      <c r="H3" s="25">
        <f>SUMIF($C$16:$C$64,C3,$H$16:$H$64)</f>
        <v>179</v>
      </c>
      <c r="I3" s="8">
        <f>SUMIF($C$16:$C$64,C3,$AF$16:$AF$64)/(SUMIF($C$16:$C$64,C3,$AF$16:$AF$64)+SUMIF($C$16:$C$64,C3,$AG$16:$AG$64))</f>
        <v>0.62011173184357538</v>
      </c>
      <c r="J3" s="6">
        <f>((SUMIF($C$16:$C$64,C3,$V$16:$V$64)+SUMIF($C$16:$C$64,C3,$X$16:$X$64)/2)/SUMIF($C$16:$C$64,C3,$W$16:$W$64))</f>
        <v>3.3895768833849331</v>
      </c>
      <c r="K3" s="40">
        <f>SUMIF($C$16:$C$64,C3,$Y$16:$Y$64)/SUMIF($C$16:$C$64,C3,$AH$16:$AH$64)</f>
        <v>7477.482954545455</v>
      </c>
      <c r="L3" s="6">
        <f>SUMIF($C$16:$C$64,C3,$AC$16:$AC$64)/SUMIF($C$16:$C$64,C3,$AH$16:$AH$64)</f>
        <v>0</v>
      </c>
      <c r="M3" s="6">
        <f>SUMIF($C$16:$C$64,C3,$U$16:$U$64)/SUMIF($C$16:$C$64,C3,$AH$16:$AH$64)</f>
        <v>400.68686868686871</v>
      </c>
      <c r="O3" s="10">
        <f>ROUNDUP(((D3-1)*SUMIF($C$16:$C$64,C3,$AF$16:$AF$64)+D2*SUMIF($C$16:$C$64,C3,$AG$16:$AG$64))/(1-D3),0)</f>
        <v>48</v>
      </c>
      <c r="Q3" s="10">
        <f>ROUNDUP(E3*SUMIF($C$16:$C$64,C3,$W$16:$W$64)-SUMIF($C$16:$C$64,C3,$V$16:$V$64)-SUMIF($C$16:$C$64,C3,$X$16:$X$64)/2,0)</f>
        <v>-378</v>
      </c>
      <c r="R3" s="6">
        <f>IF(AND(O3&gt;0,Q3&gt;0),Q3/O3,(IF(AND(O3&lt;=0,Q3&gt;0),Q3,0)))</f>
        <v>0</v>
      </c>
      <c r="AH3" s="32">
        <f>SUMIF($C$16:$C$64,C3,$AH$16:$AH$64)</f>
        <v>1584</v>
      </c>
      <c r="AI3" s="39">
        <f>IF(AH3&gt;0,AH3/1440," ")</f>
        <v>1.1000000000000001</v>
      </c>
      <c r="AK3" s="6">
        <f>SUMIF($C$16:$C$64,C3,$V$16:$V$64)/SUMIF($C$16:$C$64,C3,$AH$16:$AH$64)</f>
        <v>1.4741161616161615</v>
      </c>
      <c r="AL3" s="6">
        <f>SUMIF($C$16:$C$64,C3,$W$16:$W$64)/SUMIF($C$16:$C$64,C3,$AH$16:$AH$64)</f>
        <v>0.6117424242424242</v>
      </c>
      <c r="AM3" s="6">
        <f>SUMIF($C$16:$C$64,C3,$X$16:$X$64)/SUMIF($C$16:$C$64,C3,$AH$16:$AH$64)</f>
        <v>1.1988636363636365</v>
      </c>
      <c r="AN3" s="8">
        <f>SUMIF($C$16:$C$64,C3,$Z$16:$Z$64)/SUMIF($C$16:$C$64,C3,$Y16:$Y$64)</f>
        <v>0.75663813234565425</v>
      </c>
      <c r="AO3" s="8">
        <f>(SUMIF($C$16:$C$64,C3,$Y16:$Y$64)-SUMIF($C$16:$C$64,C3,$Z16:$Z$64))/SUMIF($C$16:$C$64,C3,$Y16:$Y$64)</f>
        <v>0.24336186765434575</v>
      </c>
      <c r="AP3" s="6">
        <f>SUMIF($C$16:$C$64,C3,$AA16:$AA$64)/SUMIF($C$16:$C$64,C3,$AH16:$AH$64)</f>
        <v>4193.1123737373737</v>
      </c>
      <c r="AQ3" s="6">
        <f>SUMIF($C$16:$C$64,C3,$AE16:$AE$64)/SUMIF($C$16:$C$64,C3,$AH16:$AH$64)</f>
        <v>3.4513888888888888</v>
      </c>
      <c r="AR3" s="6">
        <f>SUMIF($C$16:$C$64,C3,$AB16:$AB$64)/SUMIF($C$16:$C$64,C3,$AH16:$AH$64)</f>
        <v>83.76010101010101</v>
      </c>
      <c r="AT3" s="40">
        <f>(SUMIF($C$16:$C$64,C3,$AC16:$AC$64)+SUMIF($C$16:$C$64,C3,$AD16:$AD$64))/SUMIF($C$16:$C$64,C3,$AH16:$AH$64)</f>
        <v>746.27588383838383</v>
      </c>
    </row>
    <row r="4" spans="1:46" x14ac:dyDescent="0.25">
      <c r="A4" s="52"/>
      <c r="B4" s="6">
        <f>J4*(LOG(H4))*I4</f>
        <v>5.430817129645666</v>
      </c>
      <c r="C4" s="21" t="s">
        <v>40</v>
      </c>
      <c r="D4" s="8">
        <v>0.7</v>
      </c>
      <c r="E4" s="6">
        <v>3</v>
      </c>
      <c r="F4" s="25">
        <v>10</v>
      </c>
      <c r="H4" s="25">
        <f>SUMIF($C$16:$C$64,C4,$H$16:$H$64)</f>
        <v>112</v>
      </c>
      <c r="I4" s="8">
        <f>SUMIF($C$16:$C$64,C4,$AF$16:$AF$64)/(SUMIF($C$16:$C$64,C4,$AF$16:$AF$64)+SUMIF($C$16:$C$64,C4,$AG$16:$AG$64))</f>
        <v>0.7053571428571429</v>
      </c>
      <c r="J4" s="6">
        <f>((SUMIF($C$16:$C$64,C4,$V$16:$V$64)+SUMIF($C$16:$C$64,C4,$X$16:$X$64)/2)/SUMIF($C$16:$C$64,C4,$W$16:$W$64))</f>
        <v>3.7572314049586777</v>
      </c>
      <c r="K4" s="40">
        <f>SUMIF($C$16:$C$64,C4,$Y$16:$Y$64)/SUMIF($C$16:$C$64,C4,$AH$16:$AH$64)</f>
        <v>4529.7018572825027</v>
      </c>
      <c r="L4" s="6">
        <f>SUMIF($C$16:$C$64,C4,$AC$16:$AC$64)/SUMIF($C$16:$C$64,C4,$AH$16:$AH$64)</f>
        <v>6081.2746823069401</v>
      </c>
      <c r="M4" s="6">
        <f>SUMIF($C$16:$C$64,C4,$U$16:$U$64)/SUMIF($C$16:$C$64,C4,$AH$16:$AH$64)</f>
        <v>394.33528836754641</v>
      </c>
      <c r="O4" s="10">
        <f>ROUNDUP(((D4-1)*SUMIF($C$16:$C$64,C4,$AF$16:$AF$64)+D3*SUMIF($C$16:$C$64,C4,$AG$16:$AG$64))/(1-D4),0)</f>
        <v>-3</v>
      </c>
      <c r="Q4" s="10">
        <f t="shared" ref="Q4:Q6" si="0">ROUNDUP(E4*SUMIF($C$16:$C$64,C4,$W$16:$W$64)-SUMIF($C$16:$C$64,C4,$V$16:$V$64)-SUMIF($C$16:$C$64,C4,$X$16:$X$64)/2,0)</f>
        <v>-367</v>
      </c>
      <c r="R4" s="6">
        <f t="shared" ref="R4:R6" si="1">IF(AND(O4&gt;0,Q4&gt;0),Q4/O4,(IF(AND(O4&lt;=0,Q4&gt;0),Q4,0)))</f>
        <v>0</v>
      </c>
      <c r="AH4" s="32">
        <f t="shared" ref="AH4:AH6" si="2">SUMIF($C$16:$C$64,C4,$AH$16:$AH$64)</f>
        <v>1023</v>
      </c>
      <c r="AI4" s="39">
        <f t="shared" ref="AI4:AI6" si="3">IF(AH4&gt;0,AH4/1440," ")</f>
        <v>0.7104166666666667</v>
      </c>
      <c r="AK4" s="6">
        <f t="shared" ref="AK4:AK6" si="4">SUMIF($C$16:$C$64,C4,$V$16:$V$64)/SUMIF($C$16:$C$64,C4,$AH$16:$AH$64)</f>
        <v>0.67937438905180836</v>
      </c>
      <c r="AL4" s="6">
        <f t="shared" ref="AL4:AL6" si="5">SUMIF($C$16:$C$64,C4,$W$16:$W$64)/SUMIF($C$16:$C$64,C4,$AH$16:$AH$64)</f>
        <v>0.4731182795698925</v>
      </c>
      <c r="AM4" s="6">
        <f t="shared" ref="AM4:AM6" si="6">SUMIF($C$16:$C$64,C4,$X$16:$X$64)/SUMIF($C$16:$C$64,C4,$AH$16:$AH$64)</f>
        <v>2.1964809384164221</v>
      </c>
      <c r="AN4" s="5">
        <f>SUMIF($C$16:$C$64,C4,$Z$16:$Z$64)/SUMIF($C$16:$C$64,C4,$Y16:$Y$64)</f>
        <v>0.83330380447507868</v>
      </c>
      <c r="AO4" s="8">
        <f ca="1">(SUMIF($C$16:$C$64,C4,$Y18:$Y$64)-SUMIF($C$16:$C$64,C4,$Z18:$Z$64))/SUMIF($C$16:$C$64,C4,$Y18:$Y$64)</f>
        <v>0.14543931498433432</v>
      </c>
      <c r="AP4" s="6">
        <f ca="1">SUMIF($C$16:$C$64,C4,$AA18:$AA$64)/SUMIF($C$16:$C$64,C4,$AH18:$AH$64)</f>
        <v>4104.3559718969555</v>
      </c>
      <c r="AQ4" s="6">
        <f ca="1">SUMIF($C$16:$C$64,C4,$AE18:$AE$64)/SUMIF($C$16:$C$64,C4,$AH18:$AH$64)</f>
        <v>6.6182669789227164</v>
      </c>
      <c r="AR4" s="6">
        <f ca="1">SUMIF($C$16:$C$64,C4,$AB18:$AB$64)/SUMIF($C$16:$C$64,C4,$AH18:$AH$64)</f>
        <v>4.4028103044496483</v>
      </c>
      <c r="AT4" s="40">
        <f ca="1">(SUMIF($C$16:$C$64,C4,$AC18:$AC$64)+SUMIF($C$16:$C$64,C4,$AD18:$AD$64))/SUMIF($C$16:$C$64,C4,$AH18:$AH$64)</f>
        <v>8079.257611241218</v>
      </c>
    </row>
    <row r="5" spans="1:46" x14ac:dyDescent="0.25">
      <c r="A5" s="52"/>
      <c r="B5" s="6">
        <f>J5*(LOG(H5))*I5</f>
        <v>4.4527198890687512</v>
      </c>
      <c r="C5" s="21" t="s">
        <v>39</v>
      </c>
      <c r="D5" s="8">
        <v>0.7</v>
      </c>
      <c r="E5" s="6">
        <v>3</v>
      </c>
      <c r="F5" s="25">
        <v>10</v>
      </c>
      <c r="H5" s="25">
        <f>SUMIF($C$16:$C$64,C5,$H$16:$H$64)</f>
        <v>116</v>
      </c>
      <c r="I5" s="8">
        <f>SUMIF($C$16:$C$64,C5,$AF$16:$AF$64)/(SUMIF($C$16:$C$64,C5,$AF$16:$AF$64)+SUMIF($C$16:$C$64,C5,$AG$16:$AG$64))</f>
        <v>0.71551724137931039</v>
      </c>
      <c r="J5" s="6">
        <f>((SUMIF($C$16:$C$64,C5,$V$16:$V$64)+SUMIF($C$16:$C$64,C5,$X$16:$X$64)/2)/SUMIF($C$16:$C$64,C5,$W$16:$W$64))</f>
        <v>3.014388489208633</v>
      </c>
      <c r="K5" s="40">
        <f>SUMIF($C$16:$C$64,C5,$Y$16:$Y$64)/SUMIF($C$16:$C$64,C5,$AH$16:$AH$64)</f>
        <v>6897.259624876604</v>
      </c>
      <c r="L5" s="6">
        <f>SUMIF($C$16:$C$64,C5,$AC$16:$AC$64)/SUMIF($C$16:$C$64,C5,$AH$16:$AH$64)</f>
        <v>95.436327739387963</v>
      </c>
      <c r="M5" s="6">
        <f>SUMIF($C$16:$C$64,C5,$U$16:$U$64)/SUMIF($C$16:$C$64,C5,$AH$16:$AH$64)</f>
        <v>410.84501480750248</v>
      </c>
      <c r="O5" s="10">
        <f>ROUNDUP(((D5-1)*SUMIF($C$16:$C$64,C5,$AF$16:$AF$64)+D4*SUMIF($C$16:$C$64,C5,$AG$16:$AG$64))/(1-D5),0)</f>
        <v>-7</v>
      </c>
      <c r="Q5" s="10">
        <f t="shared" si="0"/>
        <v>-10</v>
      </c>
      <c r="R5" s="6">
        <f t="shared" si="1"/>
        <v>0</v>
      </c>
      <c r="AH5" s="32">
        <f t="shared" si="2"/>
        <v>1013</v>
      </c>
      <c r="AI5" s="39">
        <f t="shared" si="3"/>
        <v>0.70347222222222228</v>
      </c>
      <c r="AK5" s="6">
        <f t="shared" si="4"/>
        <v>1.5310957551826259</v>
      </c>
      <c r="AL5" s="6">
        <f t="shared" si="5"/>
        <v>0.68608094768015793</v>
      </c>
      <c r="AM5" s="6">
        <f t="shared" si="6"/>
        <v>1.0740375123395853</v>
      </c>
      <c r="AN5" s="8">
        <f ca="1">SUMIF($C$16:$C$64,C5,$Z$16:$Z$64)/SUMIF($C$16:$C$64,C5,$Y19:$Y$64)</f>
        <v>1.6183961216506888</v>
      </c>
      <c r="AO5" s="8">
        <f ca="1">(SUMIF($C$16:$C$64,C5,$Y19:$Y$64)-SUMIF($C$16:$C$64,C5,$Z19:$Z$64))/SUMIF($C$16:$C$64,C5,$Y19:$Y$64)</f>
        <v>0.14046153689928378</v>
      </c>
      <c r="AP5" s="6">
        <f ca="1">SUMIF($C$16:$C$64,C5,$AA19:$AA$64)/SUMIF($C$16:$C$64,C5,$AH19:$AH$64)</f>
        <v>5286.7789634146338</v>
      </c>
      <c r="AQ5" s="6">
        <f ca="1">SUMIF($C$16:$C$64,C5,$AE19:$AE$64)/SUMIF($C$16:$C$64,C5,$AH19:$AH$64)</f>
        <v>7.9054878048780486</v>
      </c>
      <c r="AR5" s="6">
        <f ca="1">SUMIF($C$16:$C$64,C5,$AB19:$AB$64)/SUMIF($C$16:$C$64,C5,$AH19:$AH$64)</f>
        <v>2129.2103658536585</v>
      </c>
      <c r="AT5" s="40">
        <f ca="1">(SUMIF($C$16:$C$64,C5,$AC19:$AC$64)+SUMIF($C$16:$C$64,C5,$AD19:$AD$64))/SUMIF($C$16:$C$64,C5,$AH19:$AH$64)</f>
        <v>1242.1417682926829</v>
      </c>
    </row>
    <row r="6" spans="1:46" x14ac:dyDescent="0.25">
      <c r="A6" s="52"/>
      <c r="B6" s="6">
        <f>J6*(LOG(H6))*I6</f>
        <v>3.5909957866083246</v>
      </c>
      <c r="C6" s="21" t="s">
        <v>37</v>
      </c>
      <c r="D6" s="8">
        <v>0.7</v>
      </c>
      <c r="E6" s="6">
        <v>3</v>
      </c>
      <c r="F6" s="25">
        <v>10</v>
      </c>
      <c r="H6" s="25">
        <f>SUMIF($C$16:$C$64,C6,$H$16:$H$64)</f>
        <v>58</v>
      </c>
      <c r="I6" s="8">
        <f>SUMIF($C$16:$C$64,C6,$AF$16:$AF$64)/(SUMIF($C$16:$C$64,C6,$AF$16:$AF$64)+SUMIF($C$16:$C$64,C6,$AG$16:$AG$64))</f>
        <v>0.62068965517241381</v>
      </c>
      <c r="J6" s="6">
        <f>((SUMIF($C$16:$C$64,C6,$V$16:$V$64)+SUMIF($C$16:$C$64,C6,$X$16:$X$64)/2)/SUMIF($C$16:$C$64,C6,$W$16:$W$64))</f>
        <v>3.2808219178082192</v>
      </c>
      <c r="K6" s="40">
        <f>SUMIF($C$16:$C$64,C6,$Y$16:$Y$64)/SUMIF($C$16:$C$64,C6,$AH$16:$AH$64)</f>
        <v>5760.9122807017548</v>
      </c>
      <c r="L6" s="6">
        <f>SUMIF($C$16:$C$64,C6,$AC$16:$AC$64)/SUMIF($C$16:$C$64,C6,$AH$16:$AH$64)</f>
        <v>51.952153110047846</v>
      </c>
      <c r="M6" s="6">
        <f>SUMIF($C$16:$C$64,C6,$U$16:$U$64)/SUMIF($C$16:$C$64,C6,$AH$16:$AH$64)</f>
        <v>313.99521531100481</v>
      </c>
      <c r="O6" s="10">
        <f>ROUNDUP(((D6-1)*SUMIF($C$16:$C$64,C6,$AF$16:$AF$64)+D5*SUMIF($C$16:$C$64,C6,$AG$16:$AG$64))/(1-D6),0)</f>
        <v>16</v>
      </c>
      <c r="Q6" s="10">
        <f t="shared" si="0"/>
        <v>-82</v>
      </c>
      <c r="R6" s="6">
        <f t="shared" si="1"/>
        <v>0</v>
      </c>
      <c r="AH6" s="32">
        <f t="shared" si="2"/>
        <v>627</v>
      </c>
      <c r="AI6" s="39">
        <f t="shared" si="3"/>
        <v>0.43541666666666667</v>
      </c>
      <c r="AK6" s="6">
        <f t="shared" si="4"/>
        <v>0.8771929824561403</v>
      </c>
      <c r="AL6" s="6">
        <f t="shared" si="5"/>
        <v>0.46570972886762363</v>
      </c>
      <c r="AM6" s="6">
        <f t="shared" si="6"/>
        <v>1.3014354066985645</v>
      </c>
      <c r="AN6" s="8">
        <f ca="1">SUMIF($C$16:$C$64,C6,$Z$16:$Z$64)/SUMIF($C$16:$C$64,C6,$Y20:$Y$64)</f>
        <v>0.53753450676699077</v>
      </c>
      <c r="AO6" s="8">
        <f ca="1">(SUMIF($C$16:$C$64,C6,$Y20:$Y$64)-SUMIF($C$16:$C$64,C6,$Z20:$Z$64))/SUMIF($C$16:$C$64,C6,$Y20:$Y$64)</f>
        <v>0.21310657857771045</v>
      </c>
      <c r="AP6" s="6">
        <f ca="1">SUMIF($C$16:$C$64,C6,$AA20:$AA$64)/SUMIF($C$16:$C$64,C6,$AH20:$AH$64)</f>
        <v>4955.242483026188</v>
      </c>
      <c r="AQ6" s="6">
        <f ca="1">SUMIF($C$16:$C$64,C6,$AE20:$AE$64)/SUMIF($C$16:$C$64,C6,$AH20:$AH$64)</f>
        <v>5.7032007759456835</v>
      </c>
      <c r="AR6" s="6">
        <f ca="1">SUMIF($C$16:$C$64,C6,$AB20:$AB$64)/SUMIF($C$16:$C$64,C6,$AH20:$AH$64)</f>
        <v>495.01163918525702</v>
      </c>
      <c r="AT6" s="40">
        <f ca="1">(SUMIF($C$16:$C$64,C6,$AC20:$AC$64)+SUMIF($C$16:$C$64,C6,$AD20:$AD$64))/SUMIF($C$16:$C$64,C6,$AH20:$AH$64)</f>
        <v>6423.0814742967996</v>
      </c>
    </row>
    <row r="7" spans="1:46" ht="5.25" customHeight="1" thickBot="1" x14ac:dyDescent="0.3">
      <c r="A7" s="8"/>
      <c r="B7" s="6"/>
      <c r="C7" s="21"/>
      <c r="D7" s="8"/>
      <c r="E7" s="6"/>
      <c r="F7" s="25"/>
      <c r="H7" s="25"/>
      <c r="K7" s="40"/>
      <c r="AT7" s="40"/>
    </row>
    <row r="8" spans="1:46" s="8" customFormat="1" ht="16.5" thickTop="1" thickBot="1" x14ac:dyDescent="0.3">
      <c r="A8" s="53" t="s">
        <v>99</v>
      </c>
      <c r="B8" s="6">
        <f t="shared" ref="B8:B14" si="7">J8*(LOG(H8))*I8</f>
        <v>5.4871417830031177</v>
      </c>
      <c r="C8" s="22" t="s">
        <v>65</v>
      </c>
      <c r="D8" s="41">
        <v>0.7</v>
      </c>
      <c r="E8" s="42">
        <v>3</v>
      </c>
      <c r="F8" s="43">
        <v>20</v>
      </c>
      <c r="H8" s="25">
        <f>SUMIF($D$16:$D$64,"*"&amp;C8&amp;"*",$H$16:$H$64)</f>
        <v>282</v>
      </c>
      <c r="I8" s="8">
        <f>SUMIF($D$16:$D$64,"*"&amp;C8&amp;"*",$AF$16:$AF$64)/(SUMIF($D$16:$D$64,"*"&amp;C8&amp;"*",$AF$16:$AF$64)+SUMIF($D$16:$D$64,"*"&amp;C8&amp;"*",$AG$16:$AG$64))</f>
        <v>0.68439716312056742</v>
      </c>
      <c r="J8" s="6">
        <f>(SUMIF($D$16:$D$64,"*"&amp;C8&amp;"*",$V$16:$V$64)+SUMIF($D$16:$D$64,"*"&amp;C8&amp;"*",$X$16:$X$64)/2)/SUMIF($D$16:$D$64,"*"&amp;C8&amp;"*",$W$16:$W$64)</f>
        <v>3.2721088435374148</v>
      </c>
      <c r="K8" s="40">
        <f>SUMIF($D$16:$D$64,"*"&amp;C8&amp;"*",$Y$16:$Y$64)/SUMIF($D$16:$D$64,"*"&amp;C8&amp;"*",$AH$16:$AH$64)</f>
        <v>6300.4918940292609</v>
      </c>
      <c r="L8" s="6">
        <f>SUMIF($D$16:$D$64,"*"&amp;C8&amp;"*",$AC$16:$AC$64)/SUMIF($D$16:$D$64,"*"&amp;C8&amp;"*",$AH$16:$AH$64)</f>
        <v>1625.1328588374852</v>
      </c>
      <c r="M8" s="6">
        <f>SUMIF($D$16:$D$64,"*"&amp;C8&amp;"*",$U$16:$U$64)/SUMIF($D$16:$D$64,"*"&amp;C8&amp;"*",$AH$16:$AH$64)</f>
        <v>390.44879398971926</v>
      </c>
      <c r="O8" s="45">
        <f>((D8-1)*SUMIF($D$16:$D$64,"*"&amp;C8&amp;"*",$AF$16:$AF$64)+D8*SUMIF($D$16:$D$64,"*"&amp;C8&amp;"*",$AG$16:$AG$64))/(1-D8)</f>
        <v>14.666666666666636</v>
      </c>
      <c r="P8" s="25"/>
      <c r="Q8" s="45">
        <f>E8*SUMIF($D$16:$D$64,"*"&amp;C8&amp;"*",$W$16:$W$64)-SUMIF($D$16:$D$64,"*"&amp;C8&amp;"*",$V$16:$V$64)-SUMIF($D$16:$D$64,"*"&amp;C8&amp;"*",$X$16:$X$64)/2</f>
        <v>-400</v>
      </c>
      <c r="R8" s="6">
        <f>IF(AND(O8&gt;0,Q8&gt;0),Q8/O8,(IF(AND(O8&lt;=0,Q8&gt;0),Q8,0)))</f>
        <v>0</v>
      </c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>
        <f ca="1">SUMIF($D$16:$E$64,"*"&amp;C8&amp;"*",$AH$16:$AH$64)</f>
        <v>2530.7562499999999</v>
      </c>
      <c r="AI8" s="39">
        <f t="shared" ref="AI8:AI14" ca="1" si="8">IF(AH8&gt;0,AH8/1440," ")</f>
        <v>1.7574696180555556</v>
      </c>
      <c r="AK8" s="6">
        <f>SUMIF($D$16:$D$64,"*"&amp;C8&amp;"*",$V$16:$V$64)/SUMIF($D$16:$D$64,"*"&amp;C8&amp;"*",$AH$16:$AH$64)</f>
        <v>1.1981020166073546</v>
      </c>
      <c r="AL8" s="6">
        <f>SUMIF($D$16:$D$64,"*"&amp;C8&amp;"*",$W$16:$W$64)/SUMIF($D$16:$D$64,"*"&amp;C8&amp;"*",$AH$16:$AH$64)</f>
        <v>0.58125741399762754</v>
      </c>
      <c r="AM8" s="6">
        <f>SUMIF($D$16:$D$64,"*"&amp;C8&amp;"*",$X$16:$X$64)/SUMIF($D$16:$D$64,"*"&amp;C8&amp;"*",$AH$16:$AH$64)</f>
        <v>1.4076710162119415</v>
      </c>
      <c r="AN8" s="8">
        <f>SUMIF($D$16:$D$64,"*"&amp;C8&amp;"*",$Z$16:$Z$64)/SUMIF($D$16:$D$64,"*"&amp;C8&amp;"*",$Y$16:$Y$64)</f>
        <v>0.84129233791709068</v>
      </c>
      <c r="AO8" s="8">
        <f>(SUMIF($D$16:$D$64,"*"&amp;C8&amp;"*",$Y$16:$Y$64)-SUMIF($D$16:$D$64,"*"&amp;C8&amp;"*",$Z$16:$Z$64))/SUMIF($D$16:$D$64,"*"&amp;C8&amp;"*",$Y$16:$Y$64)</f>
        <v>0.15870766208290929</v>
      </c>
      <c r="AP8" s="6">
        <f>SUMIF($D$16:$D$64,"*"&amp;C8&amp;"*",$AA$16:$AA$64)/SUMIF($D$16:$D$64,"*"&amp;C8&amp;"*",$AH$16:$AH$64)</f>
        <v>4427.9691577698695</v>
      </c>
      <c r="AQ8" s="6">
        <f>SUMIF($D$16:$D$64,"*"&amp;C8&amp;"*",$AE$16:$AE$64)/SUMIF($D$16:$D$64,"*"&amp;C8&amp;"*",$AH$16:$AH$64)</f>
        <v>5.1490707789640178</v>
      </c>
      <c r="AR8" s="6">
        <f>SUMIF($D$16:$D$64,"*"&amp;C8&amp;"*",$AB$16:$AB$64)/SUMIF($D$16:$D$64,"*"&amp;C8&amp;"*",$AH$16:$AH$64)</f>
        <v>590.49624357453536</v>
      </c>
      <c r="AS8" s="6"/>
      <c r="AT8" s="6">
        <f>(SUMIF($D$16:$D$64,"*"&amp;C8&amp;"*",$AC$16:$AC$64)+SUMIF($D$16:$D$64,"*"&amp;C8&amp;"*",$AD$16:$AD$64))/SUMIF($D$16:$D$64,"*"&amp;C8&amp;"*",$AH$16:$AH$64)</f>
        <v>2711.6615262949781</v>
      </c>
    </row>
    <row r="9" spans="1:46" s="8" customFormat="1" ht="16.5" thickTop="1" thickBot="1" x14ac:dyDescent="0.3">
      <c r="A9" s="53"/>
      <c r="B9" s="6">
        <f t="shared" si="7"/>
        <v>4.9099821603515927</v>
      </c>
      <c r="C9" s="22" t="s">
        <v>64</v>
      </c>
      <c r="D9" s="41">
        <v>0.7</v>
      </c>
      <c r="E9" s="42">
        <v>3</v>
      </c>
      <c r="F9" s="43">
        <v>20</v>
      </c>
      <c r="H9" s="25">
        <f t="shared" ref="H9:H14" si="9">SUMIF($D$16:$D$64,"*"&amp;C9&amp;"*",$H$16:$H$64)</f>
        <v>181</v>
      </c>
      <c r="I9" s="8">
        <f t="shared" ref="I9:I14" si="10">SUMIF($D$16:$D$64,"*"&amp;C9&amp;"*",$AF$16:$AF$64)/(SUMIF($D$16:$D$64,"*"&amp;C9&amp;"*",$AF$16:$AF$64)+SUMIF($D$16:$D$64,"*"&amp;C9&amp;"*",$AG$16:$AG$64))</f>
        <v>0.62983425414364635</v>
      </c>
      <c r="J9" s="6">
        <f t="shared" ref="J9:J14" si="11">(SUMIF($D$16:$D$64,"*"&amp;C9&amp;"*",$V$16:$V$64)+SUMIF($D$16:$D$64,"*"&amp;C9&amp;"*",$X$16:$X$64)/2)/SUMIF($D$16:$D$64,"*"&amp;C9&amp;"*",$W$16:$W$64)</f>
        <v>3.4529598308668077</v>
      </c>
      <c r="K9" s="40">
        <f t="shared" ref="K9:K14" si="12">SUMIF($D$16:$D$64,"*"&amp;C9&amp;"*",$Y$16:$Y$64)/SUMIF($D$16:$D$64,"*"&amp;C9&amp;"*",$AH$16:$AH$64)</f>
        <v>6415.3519388954173</v>
      </c>
      <c r="L9" s="6">
        <f t="shared" ref="L9:L14" si="13">SUMIF($D$16:$D$64,"*"&amp;C9&amp;"*",$AC$16:$AC$64)/SUMIF($D$16:$D$64,"*"&amp;C9&amp;"*",$AH$16:$AH$64)</f>
        <v>1316.3537015276145</v>
      </c>
      <c r="M9" s="6">
        <f t="shared" ref="M9:M14" si="14">SUMIF($D$16:$D$64,"*"&amp;C9&amp;"*",$U$16:$U$64)/SUMIF($D$16:$D$64,"*"&amp;C9&amp;"*",$AH$16:$AH$64)</f>
        <v>382.15452408930668</v>
      </c>
      <c r="O9" s="45">
        <f>((D9-1)*SUMIF($D$16:$D$64,"*"&amp;C9&amp;"*",$AF$16:$AF$64)+D9*SUMIF($D$16:$D$64,"*"&amp;C9&amp;"*",$AG$16:$AG$64))/(1-D9)</f>
        <v>42.333333333333314</v>
      </c>
      <c r="P9" s="25"/>
      <c r="Q9" s="45">
        <f t="shared" ref="Q9:Q14" si="15">E9*SUMIF($D$16:$D$64,"*"&amp;C9&amp;"*",$W$16:$W$64)-SUMIF($D$16:$D$64,"*"&amp;C9&amp;"*",$V$16:$V$64)-SUMIF($D$16:$D$64,"*"&amp;C9&amp;"*",$X$16:$X$64)/2</f>
        <v>-428.5</v>
      </c>
      <c r="R9" s="6">
        <f t="shared" ref="R9:R14" si="16">IF(AND(O9&gt;0,Q9&gt;0),Q9/O9,(IF(AND(O9&lt;=0,Q9&gt;0),Q9,0)))</f>
        <v>0</v>
      </c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>
        <f t="shared" ref="AH9:AH14" ca="1" si="17">SUMIF($D$16:$E$64,"*"&amp;C9&amp;"*",$AH$16:$AH$64)</f>
        <v>1703.1819444444445</v>
      </c>
      <c r="AI9" s="39">
        <f t="shared" ca="1" si="8"/>
        <v>1.182765239197531</v>
      </c>
      <c r="AK9" s="6">
        <f t="shared" ref="AK9:AK14" si="18">SUMIF($D$16:$D$64,"*"&amp;C9&amp;"*",$V$16:$V$64)/SUMIF($D$16:$D$64,"*"&amp;C9&amp;"*",$AH$16:$AH$64)</f>
        <v>1.1862514688601644</v>
      </c>
      <c r="AL9" s="6">
        <f t="shared" ref="AL9:AL14" si="19">SUMIF($D$16:$D$64,"*"&amp;C9&amp;"*",$W$16:$W$64)/SUMIF($D$16:$D$64,"*"&amp;C9&amp;"*",$AH$16:$AH$64)</f>
        <v>0.55581668625146885</v>
      </c>
      <c r="AM9" s="6">
        <f t="shared" ref="AM9:AM14" si="20">SUMIF($D$16:$D$64,"*"&amp;C9&amp;"*",$X$16:$X$64)/SUMIF($D$16:$D$64,"*"&amp;C9&amp;"*",$AH$16:$AH$64)</f>
        <v>1.4659224441833139</v>
      </c>
      <c r="AN9" s="8">
        <f t="shared" ref="AN9:AN14" si="21">SUMIF($D$16:$D$64,"*"&amp;C9&amp;"*",$Z$16:$Z$64)/SUMIF($D$16:$D$64,"*"&amp;C9&amp;"*",$Y$16:$Y$64)</f>
        <v>0.76060967151631809</v>
      </c>
      <c r="AO9" s="8">
        <f t="shared" ref="AO9:AO14" si="22">(SUMIF($D$16:$D$64,"*"&amp;C9&amp;"*",$Y$16:$Y$64)-SUMIF($D$16:$D$64,"*"&amp;C9&amp;"*",$Z$16:$Z$64))/SUMIF($D$16:$D$64,"*"&amp;C9&amp;"*",$Y$16:$Y$64)</f>
        <v>0.23939032848368186</v>
      </c>
      <c r="AP9" s="6">
        <f t="shared" ref="AP9:AP14" si="23">SUMIF($D$16:$D$64,"*"&amp;C9&amp;"*",$AA$16:$AA$64)/SUMIF($D$16:$D$64,"*"&amp;C9&amp;"*",$AH$16:$AH$64)</f>
        <v>4873.0658049353706</v>
      </c>
      <c r="AQ9" s="6">
        <f t="shared" ref="AQ9:AQ14" si="24">SUMIF($D$16:$D$64,"*"&amp;C9&amp;"*",$AE$16:$AE$64)/SUMIF($D$16:$D$64,"*"&amp;C9&amp;"*",$AH$16:$AH$64)</f>
        <v>5.4065804935370156</v>
      </c>
      <c r="AR9" s="6">
        <f t="shared" ref="AR9:AR14" si="25">SUMIF($D$16:$D$64,"*"&amp;C9&amp;"*",$AB$16:$AB$64)/SUMIF($D$16:$D$64,"*"&amp;C9&amp;"*",$AH$16:$AH$64)</f>
        <v>547.96768507638069</v>
      </c>
      <c r="AS9" s="6"/>
      <c r="AT9" s="6">
        <f t="shared" ref="AT9:AT14" si="26">(SUMIF($D$16:$D$64,"*"&amp;C9&amp;"*",$AC$16:$AC$64)+SUMIF($D$16:$D$64,"*"&amp;C9&amp;"*",$AD$16:$AD$64))/SUMIF($D$16:$D$64,"*"&amp;C9&amp;"*",$AH$16:$AH$64)</f>
        <v>2579.4829612220915</v>
      </c>
    </row>
    <row r="10" spans="1:46" s="8" customFormat="1" ht="16.5" thickTop="1" thickBot="1" x14ac:dyDescent="0.3">
      <c r="A10" s="53"/>
      <c r="B10" s="6">
        <f t="shared" si="7"/>
        <v>3.9499415088030312</v>
      </c>
      <c r="C10" s="22" t="s">
        <v>66</v>
      </c>
      <c r="D10" s="41">
        <v>0.7</v>
      </c>
      <c r="E10" s="42">
        <v>3</v>
      </c>
      <c r="F10" s="43">
        <v>20</v>
      </c>
      <c r="H10" s="25">
        <f t="shared" si="9"/>
        <v>35</v>
      </c>
      <c r="I10" s="8">
        <f t="shared" si="10"/>
        <v>0.7142857142857143</v>
      </c>
      <c r="J10" s="6">
        <f t="shared" si="11"/>
        <v>3.5813953488372094</v>
      </c>
      <c r="K10" s="40">
        <f t="shared" si="12"/>
        <v>7041.5234899328862</v>
      </c>
      <c r="L10" s="6">
        <f t="shared" si="13"/>
        <v>462.88255033557044</v>
      </c>
      <c r="M10" s="6">
        <f t="shared" si="14"/>
        <v>392.94630872483219</v>
      </c>
      <c r="O10" s="45">
        <f t="shared" ref="O10:O14" si="27">((D10-1)*SUMIF($D$16:$D$64,"*"&amp;C10&amp;"*",$AF$16:$AF$64)+D10*SUMIF($D$16:$D$64,"*"&amp;C10&amp;"*",$AG$16:$AG$64))/(1-D10)</f>
        <v>-1.6666666666666694</v>
      </c>
      <c r="P10" s="25"/>
      <c r="Q10" s="45">
        <f t="shared" si="15"/>
        <v>-100</v>
      </c>
      <c r="R10" s="6">
        <f t="shared" si="16"/>
        <v>0</v>
      </c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>
        <f t="shared" ca="1" si="17"/>
        <v>298</v>
      </c>
      <c r="AI10" s="39">
        <f t="shared" ca="1" si="8"/>
        <v>0.20694444444444443</v>
      </c>
      <c r="AK10" s="6">
        <f t="shared" si="18"/>
        <v>1.523489932885906</v>
      </c>
      <c r="AL10" s="6">
        <f t="shared" si="19"/>
        <v>0.57718120805369133</v>
      </c>
      <c r="AM10" s="6">
        <f t="shared" si="20"/>
        <v>1.087248322147651</v>
      </c>
      <c r="AN10" s="8">
        <f t="shared" si="21"/>
        <v>0.77466171426066088</v>
      </c>
      <c r="AO10" s="8">
        <f t="shared" si="22"/>
        <v>0.22533828573933912</v>
      </c>
      <c r="AP10" s="6">
        <f t="shared" si="23"/>
        <v>4207.7483221476514</v>
      </c>
      <c r="AQ10" s="6">
        <f t="shared" si="24"/>
        <v>3.6375838926174495</v>
      </c>
      <c r="AR10" s="6">
        <f t="shared" si="25"/>
        <v>76.570469798657712</v>
      </c>
      <c r="AS10" s="6"/>
      <c r="AT10" s="6">
        <f t="shared" si="26"/>
        <v>1487.2114093959731</v>
      </c>
    </row>
    <row r="11" spans="1:46" s="8" customFormat="1" ht="16.5" thickTop="1" thickBot="1" x14ac:dyDescent="0.3">
      <c r="A11" s="53"/>
      <c r="B11" s="6">
        <f t="shared" si="7"/>
        <v>3.777134361166687</v>
      </c>
      <c r="C11" s="22" t="s">
        <v>62</v>
      </c>
      <c r="D11" s="41">
        <v>0.7</v>
      </c>
      <c r="E11" s="42">
        <v>3</v>
      </c>
      <c r="F11" s="43">
        <v>20</v>
      </c>
      <c r="H11" s="25">
        <f t="shared" si="9"/>
        <v>12</v>
      </c>
      <c r="I11" s="8">
        <f t="shared" si="10"/>
        <v>0.66666666666666663</v>
      </c>
      <c r="J11" s="6">
        <f t="shared" si="11"/>
        <v>5.25</v>
      </c>
      <c r="K11" s="40">
        <f t="shared" si="12"/>
        <v>9401.532608695652</v>
      </c>
      <c r="L11" s="6">
        <f t="shared" si="13"/>
        <v>0</v>
      </c>
      <c r="M11" s="6">
        <f t="shared" si="14"/>
        <v>490.4021739130435</v>
      </c>
      <c r="O11" s="45">
        <f t="shared" si="27"/>
        <v>1.3333333333333313</v>
      </c>
      <c r="P11" s="25"/>
      <c r="Q11" s="45">
        <f t="shared" si="15"/>
        <v>-99</v>
      </c>
      <c r="R11" s="6">
        <f t="shared" si="16"/>
        <v>0</v>
      </c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>
        <f t="shared" ca="1" si="17"/>
        <v>92</v>
      </c>
      <c r="AI11" s="39">
        <f t="shared" ca="1" si="8"/>
        <v>6.3888888888888884E-2</v>
      </c>
      <c r="AK11" s="6">
        <f t="shared" si="18"/>
        <v>1.7608695652173914</v>
      </c>
      <c r="AL11" s="6">
        <f t="shared" si="19"/>
        <v>0.47826086956521741</v>
      </c>
      <c r="AM11" s="6">
        <f t="shared" si="20"/>
        <v>1.5</v>
      </c>
      <c r="AN11" s="8">
        <f t="shared" si="21"/>
        <v>0.9941891990320727</v>
      </c>
      <c r="AO11" s="8">
        <f t="shared" si="22"/>
        <v>5.8108009679272918E-3</v>
      </c>
      <c r="AP11" s="6">
        <f t="shared" si="23"/>
        <v>4572.597826086957</v>
      </c>
      <c r="AQ11" s="6">
        <f t="shared" si="24"/>
        <v>6.4565217391304346</v>
      </c>
      <c r="AR11" s="6">
        <f t="shared" si="25"/>
        <v>0</v>
      </c>
      <c r="AS11" s="6"/>
      <c r="AT11" s="6">
        <f t="shared" si="26"/>
        <v>523.86956521739125</v>
      </c>
    </row>
    <row r="12" spans="1:46" s="8" customFormat="1" ht="16.5" thickTop="1" thickBot="1" x14ac:dyDescent="0.3">
      <c r="A12" s="53"/>
      <c r="B12" s="6" t="e">
        <f t="shared" si="7"/>
        <v>#DIV/0!</v>
      </c>
      <c r="C12" s="22" t="s">
        <v>67</v>
      </c>
      <c r="D12" s="41">
        <v>0.7</v>
      </c>
      <c r="E12" s="42">
        <v>3</v>
      </c>
      <c r="F12" s="43">
        <v>20</v>
      </c>
      <c r="H12" s="25">
        <f t="shared" si="9"/>
        <v>0</v>
      </c>
      <c r="I12" s="8" t="e">
        <f t="shared" si="10"/>
        <v>#DIV/0!</v>
      </c>
      <c r="J12" s="6" t="e">
        <f t="shared" si="11"/>
        <v>#DIV/0!</v>
      </c>
      <c r="K12" s="40" t="e">
        <f t="shared" si="12"/>
        <v>#DIV/0!</v>
      </c>
      <c r="L12" s="6" t="e">
        <f t="shared" si="13"/>
        <v>#DIV/0!</v>
      </c>
      <c r="M12" s="6" t="e">
        <f t="shared" si="14"/>
        <v>#DIV/0!</v>
      </c>
      <c r="O12" s="45">
        <f t="shared" si="27"/>
        <v>0</v>
      </c>
      <c r="P12" s="25"/>
      <c r="Q12" s="45">
        <f t="shared" si="15"/>
        <v>0</v>
      </c>
      <c r="R12" s="6">
        <f t="shared" si="16"/>
        <v>0</v>
      </c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>
        <f t="shared" ca="1" si="17"/>
        <v>0</v>
      </c>
      <c r="AI12" s="39" t="str">
        <f t="shared" ca="1" si="8"/>
        <v xml:space="preserve"> </v>
      </c>
      <c r="AK12" s="6" t="e">
        <f t="shared" si="18"/>
        <v>#DIV/0!</v>
      </c>
      <c r="AL12" s="6" t="e">
        <f t="shared" si="19"/>
        <v>#DIV/0!</v>
      </c>
      <c r="AM12" s="6" t="e">
        <f t="shared" si="20"/>
        <v>#DIV/0!</v>
      </c>
      <c r="AN12" s="8" t="e">
        <f t="shared" si="21"/>
        <v>#DIV/0!</v>
      </c>
      <c r="AO12" s="8" t="e">
        <f t="shared" si="22"/>
        <v>#DIV/0!</v>
      </c>
      <c r="AP12" s="6" t="e">
        <f t="shared" si="23"/>
        <v>#DIV/0!</v>
      </c>
      <c r="AQ12" s="6" t="e">
        <f t="shared" si="24"/>
        <v>#DIV/0!</v>
      </c>
      <c r="AR12" s="6" t="e">
        <f t="shared" si="25"/>
        <v>#DIV/0!</v>
      </c>
      <c r="AS12" s="6"/>
      <c r="AT12" s="6" t="e">
        <f t="shared" si="26"/>
        <v>#DIV/0!</v>
      </c>
    </row>
    <row r="13" spans="1:46" s="8" customFormat="1" ht="16.5" thickTop="1" thickBot="1" x14ac:dyDescent="0.3">
      <c r="A13" s="53"/>
      <c r="B13" s="6">
        <f t="shared" si="7"/>
        <v>5.2401558948372013</v>
      </c>
      <c r="C13" s="22" t="s">
        <v>63</v>
      </c>
      <c r="D13" s="41">
        <v>0.7</v>
      </c>
      <c r="E13" s="42">
        <v>3</v>
      </c>
      <c r="F13" s="43">
        <v>20</v>
      </c>
      <c r="H13" s="25">
        <f t="shared" si="9"/>
        <v>242</v>
      </c>
      <c r="I13" s="8">
        <f t="shared" si="10"/>
        <v>0.69008264462809921</v>
      </c>
      <c r="J13" s="6">
        <f t="shared" si="11"/>
        <v>3.1854477611940299</v>
      </c>
      <c r="K13" s="40">
        <f t="shared" si="12"/>
        <v>6270.8378504672901</v>
      </c>
      <c r="L13" s="6">
        <f t="shared" si="13"/>
        <v>1708.3331775700935</v>
      </c>
      <c r="M13" s="6">
        <f t="shared" si="14"/>
        <v>403.08130841121493</v>
      </c>
      <c r="O13" s="45">
        <f t="shared" si="27"/>
        <v>7.9999999999999707</v>
      </c>
      <c r="P13" s="25"/>
      <c r="Q13" s="45">
        <f t="shared" si="15"/>
        <v>-248.5</v>
      </c>
      <c r="R13" s="6">
        <f t="shared" si="16"/>
        <v>0</v>
      </c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>
        <f t="shared" ca="1" si="17"/>
        <v>2140</v>
      </c>
      <c r="AI13" s="39">
        <f t="shared" ca="1" si="8"/>
        <v>1.4861111111111112</v>
      </c>
      <c r="AK13" s="6">
        <f t="shared" si="18"/>
        <v>1.2322429906542056</v>
      </c>
      <c r="AL13" s="6">
        <f t="shared" si="19"/>
        <v>0.62616822429906538</v>
      </c>
      <c r="AM13" s="6">
        <f t="shared" si="20"/>
        <v>1.5247663551401869</v>
      </c>
      <c r="AN13" s="8">
        <f t="shared" si="21"/>
        <v>0.86399110613861385</v>
      </c>
      <c r="AO13" s="8">
        <f t="shared" si="22"/>
        <v>0.13600889386138612</v>
      </c>
      <c r="AP13" s="6">
        <f t="shared" si="23"/>
        <v>4303.6981308411214</v>
      </c>
      <c r="AQ13" s="6">
        <f t="shared" si="24"/>
        <v>4.3836448598130842</v>
      </c>
      <c r="AR13" s="6">
        <f t="shared" si="25"/>
        <v>256.09299065420561</v>
      </c>
      <c r="AS13" s="6"/>
      <c r="AT13" s="6">
        <f t="shared" si="26"/>
        <v>2883.2976635514019</v>
      </c>
    </row>
    <row r="14" spans="1:46" s="8" customFormat="1" ht="16.5" thickTop="1" thickBot="1" x14ac:dyDescent="0.3">
      <c r="A14" s="53"/>
      <c r="B14" s="6">
        <f t="shared" si="7"/>
        <v>5.1535111960145601</v>
      </c>
      <c r="C14" s="22" t="s">
        <v>91</v>
      </c>
      <c r="D14" s="41">
        <v>0.7</v>
      </c>
      <c r="E14" s="42">
        <v>3</v>
      </c>
      <c r="F14" s="43">
        <v>20</v>
      </c>
      <c r="H14" s="25">
        <f t="shared" si="9"/>
        <v>195</v>
      </c>
      <c r="I14" s="8">
        <f t="shared" si="10"/>
        <v>0.63589743589743586</v>
      </c>
      <c r="J14" s="6">
        <f t="shared" si="11"/>
        <v>3.5389473684210526</v>
      </c>
      <c r="K14" s="40">
        <f t="shared" si="12"/>
        <v>5937.0696920583468</v>
      </c>
      <c r="L14" s="6">
        <f t="shared" si="13"/>
        <v>2023.0475418692599</v>
      </c>
      <c r="M14" s="6">
        <f t="shared" si="14"/>
        <v>374.76121015667206</v>
      </c>
      <c r="O14" s="45">
        <f t="shared" si="27"/>
        <v>41.666666666666636</v>
      </c>
      <c r="P14" s="25"/>
      <c r="Q14" s="45">
        <f t="shared" si="15"/>
        <v>-512</v>
      </c>
      <c r="R14" s="6">
        <f t="shared" si="16"/>
        <v>0</v>
      </c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>
        <f t="shared" ca="1" si="17"/>
        <v>1851</v>
      </c>
      <c r="AI14" s="39">
        <f t="shared" ca="1" si="8"/>
        <v>1.2854166666666667</v>
      </c>
      <c r="AK14" s="6">
        <f t="shared" si="18"/>
        <v>1.0626688276607239</v>
      </c>
      <c r="AL14" s="6">
        <f t="shared" si="19"/>
        <v>0.51323608860075631</v>
      </c>
      <c r="AM14" s="6">
        <f t="shared" si="20"/>
        <v>1.5072933549432739</v>
      </c>
      <c r="AN14" s="8">
        <f t="shared" si="21"/>
        <v>0.72850469483824398</v>
      </c>
      <c r="AO14" s="8">
        <f t="shared" si="22"/>
        <v>0.27149530516175596</v>
      </c>
      <c r="AP14" s="6">
        <f t="shared" si="23"/>
        <v>4878.0556455969745</v>
      </c>
      <c r="AQ14" s="6">
        <f t="shared" si="24"/>
        <v>5.6066990815775259</v>
      </c>
      <c r="AR14" s="6">
        <f t="shared" si="25"/>
        <v>746.02647217720153</v>
      </c>
      <c r="AS14" s="6"/>
      <c r="AT14" s="6">
        <f t="shared" si="26"/>
        <v>3293.7941653160456</v>
      </c>
    </row>
    <row r="15" spans="1:46" s="5" customFormat="1" ht="15.75" thickTop="1" x14ac:dyDescent="0.25">
      <c r="A15" s="2" t="s">
        <v>60</v>
      </c>
      <c r="B15" s="3" t="s">
        <v>77</v>
      </c>
      <c r="C15" s="23" t="s">
        <v>55</v>
      </c>
      <c r="D15" s="1" t="s">
        <v>87</v>
      </c>
      <c r="E15" s="3" t="s">
        <v>69</v>
      </c>
      <c r="F15" s="3" t="s">
        <v>68</v>
      </c>
      <c r="G15" s="18"/>
      <c r="H15" s="3" t="s">
        <v>59</v>
      </c>
      <c r="I15" s="1" t="s">
        <v>61</v>
      </c>
      <c r="J15" s="2" t="s">
        <v>46</v>
      </c>
      <c r="K15" s="2" t="s">
        <v>84</v>
      </c>
      <c r="L15" s="2" t="s">
        <v>83</v>
      </c>
      <c r="M15" s="2" t="s">
        <v>71</v>
      </c>
      <c r="N15" s="18"/>
      <c r="O15" s="3" t="s">
        <v>57</v>
      </c>
      <c r="P15" s="3" t="s">
        <v>86</v>
      </c>
      <c r="Q15" s="3" t="s">
        <v>58</v>
      </c>
      <c r="R15" s="2" t="s">
        <v>70</v>
      </c>
      <c r="S15" s="18"/>
      <c r="T15" s="19" t="s">
        <v>93</v>
      </c>
      <c r="U15" s="35" t="s">
        <v>72</v>
      </c>
      <c r="V15" s="35" t="s">
        <v>43</v>
      </c>
      <c r="W15" s="35" t="s">
        <v>44</v>
      </c>
      <c r="X15" s="35" t="s">
        <v>45</v>
      </c>
      <c r="Y15" s="35" t="s">
        <v>38</v>
      </c>
      <c r="Z15" s="35" t="s">
        <v>94</v>
      </c>
      <c r="AA15" s="35" t="s">
        <v>95</v>
      </c>
      <c r="AB15" s="35" t="s">
        <v>96</v>
      </c>
      <c r="AC15" s="35" t="s">
        <v>97</v>
      </c>
      <c r="AD15" s="35" t="s">
        <v>98</v>
      </c>
      <c r="AE15" s="35" t="s">
        <v>100</v>
      </c>
      <c r="AF15" s="35" t="s">
        <v>41</v>
      </c>
      <c r="AG15" s="35" t="s">
        <v>42</v>
      </c>
      <c r="AH15" s="36" t="s">
        <v>101</v>
      </c>
      <c r="AI15" s="38" t="s">
        <v>73</v>
      </c>
      <c r="AJ15" s="18"/>
      <c r="AK15" s="2" t="s">
        <v>74</v>
      </c>
      <c r="AL15" s="2" t="s">
        <v>75</v>
      </c>
      <c r="AM15" s="2" t="s">
        <v>76</v>
      </c>
      <c r="AN15" s="1" t="s">
        <v>81</v>
      </c>
      <c r="AO15" s="1" t="s">
        <v>82</v>
      </c>
      <c r="AP15" s="2" t="s">
        <v>103</v>
      </c>
      <c r="AQ15" s="2" t="s">
        <v>85</v>
      </c>
      <c r="AR15" s="2" t="s">
        <v>104</v>
      </c>
      <c r="AS15" s="18"/>
      <c r="AT15" s="2" t="s">
        <v>102</v>
      </c>
    </row>
    <row r="16" spans="1:46" ht="15" customHeight="1" x14ac:dyDescent="0.25">
      <c r="A16" s="6">
        <f t="shared" ref="A16:A47" si="28">IF(H16=" "," ",(((M16*LOG(H16)^10)/(LOG(H16)^10+9))*(((J16*I16*LOG(H16)^10)/(LOG(H16)^10+9))/(12.8))))</f>
        <v>3.0506789155512588</v>
      </c>
      <c r="B16" s="7" t="s">
        <v>135</v>
      </c>
      <c r="C16" s="22" t="s">
        <v>38</v>
      </c>
      <c r="H16" s="32">
        <f t="shared" ref="H16:H47" si="29">IF(ISBLANK(AF16)," ",AF16+AG16)</f>
        <v>12</v>
      </c>
      <c r="I16" s="8">
        <f t="shared" ref="I16:I47" si="30">IF(ISBLANK(AF16),"",AF16/(AF16+AG16))</f>
        <v>0.75</v>
      </c>
      <c r="J16" s="9">
        <f t="shared" ref="J16:J47" si="31">IF(ISBLANK(V16)," ",(V16+X16/2)/W16)</f>
        <v>3.65625</v>
      </c>
      <c r="K16" s="40">
        <f t="shared" ref="K16:K47" si="32">IF(Y16&gt;0,Y16/AH16," ")</f>
        <v>7581.6495726495723</v>
      </c>
      <c r="L16" s="40" t="str">
        <f t="shared" ref="L16:L47" si="33">IF(AC16&gt;0,(AC16)/AH16," ")</f>
        <v xml:space="preserve"> </v>
      </c>
      <c r="M16" s="40">
        <f t="shared" ref="M16:M47" si="34">IF(U16&gt;0,U16/AH16," ")</f>
        <v>385.11965811965814</v>
      </c>
      <c r="O16" s="10">
        <f t="shared" ref="O16:O47" si="35">IF(ISBLANK(AF16)," ",IF((P16+H16)&lt;=SUMIF($C$2:$C$6,C16,$F$2:$F$6),SUMIF($C$2:$C$6,C16,$F$2:$F$6)-H16,P16))</f>
        <v>-2</v>
      </c>
      <c r="P16" s="10">
        <f t="shared" ref="P16:P47" si="36">IF(ISBLANK(AF16)," ",_xlfn.CEILING.MATH(((SUMIF($C$2:$C$6,C16,$D$2:$D$6)-1)*AF16+SUMIF($C$2:$C$6,C16,$D$2:$D$6)*AG16)/(1-SUMIF($C$2:$C$6,C16,$D$2:$D$6))))</f>
        <v>-2</v>
      </c>
      <c r="Q16" s="10">
        <f t="shared" ref="Q16:Q47" si="37">IF(ISBLANK(V16)," ",_xlfn.CEILING.MATH(SUMIF($C$2:$C$6,C16,$E$2:$E$6)*W16-V16-X16/2))</f>
        <v>-42</v>
      </c>
      <c r="R16" s="9">
        <f t="shared" ref="R16:R47" si="38">IF(AND(O16&gt;0,Q16&gt;0),Q16/O16,(IF(AND(O16&lt;=0,Q16&gt;0),Q16,0)))</f>
        <v>0</v>
      </c>
      <c r="T16" s="5" t="s">
        <v>209</v>
      </c>
      <c r="U16" s="32">
        <v>45059</v>
      </c>
      <c r="V16" s="32">
        <v>163</v>
      </c>
      <c r="W16" s="32">
        <v>64</v>
      </c>
      <c r="X16" s="37">
        <v>142</v>
      </c>
      <c r="Y16" s="37">
        <v>887053</v>
      </c>
      <c r="Z16" s="37">
        <v>790452</v>
      </c>
      <c r="AA16" s="37">
        <v>348767</v>
      </c>
      <c r="AB16" s="37">
        <v>88043</v>
      </c>
      <c r="AC16" s="37">
        <v>0</v>
      </c>
      <c r="AD16" s="37">
        <v>45180</v>
      </c>
      <c r="AE16" s="37">
        <v>311</v>
      </c>
      <c r="AF16" s="32">
        <v>9</v>
      </c>
      <c r="AG16" s="32">
        <v>3</v>
      </c>
      <c r="AH16" s="37">
        <v>117</v>
      </c>
      <c r="AI16" s="39">
        <f t="shared" ref="AI16:AI47" si="39">IF(AH16&gt;0,AH16/1440," ")</f>
        <v>8.1250000000000003E-2</v>
      </c>
      <c r="AK16" s="9">
        <f t="shared" ref="AK16:AK47" si="40">IF(V16&gt;0,V16/AH16," ")</f>
        <v>1.3931623931623931</v>
      </c>
      <c r="AL16" s="9">
        <f t="shared" ref="AL16:AL47" si="41">IF(W16&gt;0,W16/AH16," ")</f>
        <v>0.54700854700854706</v>
      </c>
      <c r="AM16" s="6">
        <f t="shared" ref="AM16:AM47" si="42">IF(X16&gt;0,X16/AH16," ")</f>
        <v>1.2136752136752136</v>
      </c>
      <c r="AN16" s="8">
        <f t="shared" ref="AN16:AN47" si="43">IF(Y16&gt;0,Z16/Y16," ")</f>
        <v>0.89109895350108725</v>
      </c>
      <c r="AO16" s="8">
        <f t="shared" ref="AO16:AO47" si="44">IF(Y16&gt;0,(Y16-Z16)/Y16," ")</f>
        <v>0.10890104649891269</v>
      </c>
      <c r="AP16" s="40">
        <f t="shared" ref="AP16:AP47" si="45">IF(AA16&gt;0,AA16/AH16," ")</f>
        <v>2980.9145299145298</v>
      </c>
      <c r="AQ16" s="40">
        <f t="shared" ref="AQ16:AQ47" si="46">IF(AE16&gt;0,AE16/AH16," ")</f>
        <v>2.658119658119658</v>
      </c>
      <c r="AR16" s="40">
        <f t="shared" ref="AR16:AR47" si="47">IF(AB16&gt;0,AB16/AH16," ")</f>
        <v>752.50427350427356</v>
      </c>
      <c r="AS16" s="40"/>
      <c r="AT16" s="40">
        <f t="shared" ref="AT16:AT47" si="48">IF(ISBLANK(AH16)," ",(AC16+AD16)/AH16)</f>
        <v>386.15384615384613</v>
      </c>
    </row>
    <row r="17" spans="1:46" ht="15" customHeight="1" x14ac:dyDescent="0.25">
      <c r="A17" s="6">
        <f t="shared" si="28"/>
        <v>0.7968755400698192</v>
      </c>
      <c r="B17" s="7" t="s">
        <v>36</v>
      </c>
      <c r="C17" s="22" t="s">
        <v>38</v>
      </c>
      <c r="D17" s="13" t="str">
        <f t="shared" ref="D17:D64" si="49">E17&amp;" "&amp;F17</f>
        <v>Projectile Charge</v>
      </c>
      <c r="E17" s="4" t="s">
        <v>65</v>
      </c>
      <c r="F17" s="4" t="s">
        <v>62</v>
      </c>
      <c r="H17" s="32">
        <f t="shared" si="29"/>
        <v>9</v>
      </c>
      <c r="I17" s="8">
        <f t="shared" si="30"/>
        <v>0.77777777777777779</v>
      </c>
      <c r="J17" s="9">
        <f t="shared" si="31"/>
        <v>5.887096774193548</v>
      </c>
      <c r="K17" s="40">
        <f t="shared" si="32"/>
        <v>10419.460317460318</v>
      </c>
      <c r="L17" s="40" t="str">
        <f t="shared" si="33"/>
        <v xml:space="preserve"> </v>
      </c>
      <c r="M17" s="40">
        <f t="shared" si="34"/>
        <v>526.69841269841265</v>
      </c>
      <c r="O17" s="10">
        <f t="shared" si="35"/>
        <v>1</v>
      </c>
      <c r="P17" s="10">
        <f t="shared" si="36"/>
        <v>-2</v>
      </c>
      <c r="Q17" s="10">
        <f t="shared" si="37"/>
        <v>-89</v>
      </c>
      <c r="R17" s="9">
        <f t="shared" si="38"/>
        <v>0</v>
      </c>
      <c r="T17" s="5" t="s">
        <v>174</v>
      </c>
      <c r="U17" s="32">
        <v>33182</v>
      </c>
      <c r="V17" s="32">
        <v>140</v>
      </c>
      <c r="W17" s="32">
        <v>31</v>
      </c>
      <c r="X17" s="37">
        <v>85</v>
      </c>
      <c r="Y17" s="37">
        <v>656426</v>
      </c>
      <c r="Z17" s="37">
        <v>651400</v>
      </c>
      <c r="AA17" s="37">
        <v>194927</v>
      </c>
      <c r="AB17" s="37">
        <v>0</v>
      </c>
      <c r="AC17" s="37">
        <v>0</v>
      </c>
      <c r="AD17" s="37">
        <v>18789</v>
      </c>
      <c r="AE17" s="37">
        <v>284</v>
      </c>
      <c r="AF17" s="32">
        <v>7</v>
      </c>
      <c r="AG17" s="32">
        <v>2</v>
      </c>
      <c r="AH17" s="37">
        <v>63</v>
      </c>
      <c r="AI17" s="39">
        <f t="shared" si="39"/>
        <v>4.3749999999999997E-2</v>
      </c>
      <c r="AK17" s="9">
        <f t="shared" si="40"/>
        <v>2.2222222222222223</v>
      </c>
      <c r="AL17" s="9">
        <f t="shared" si="41"/>
        <v>0.49206349206349204</v>
      </c>
      <c r="AM17" s="6">
        <f t="shared" si="42"/>
        <v>1.3492063492063493</v>
      </c>
      <c r="AN17" s="8">
        <f t="shared" si="43"/>
        <v>0.99234338676408307</v>
      </c>
      <c r="AO17" s="8">
        <f t="shared" si="44"/>
        <v>7.6566132359169202E-3</v>
      </c>
      <c r="AP17" s="40">
        <f t="shared" si="45"/>
        <v>3094.0793650793653</v>
      </c>
      <c r="AQ17" s="40">
        <f t="shared" si="46"/>
        <v>4.5079365079365079</v>
      </c>
      <c r="AR17" s="40" t="str">
        <f t="shared" si="47"/>
        <v xml:space="preserve"> </v>
      </c>
      <c r="AS17" s="40"/>
      <c r="AT17" s="40">
        <f t="shared" si="48"/>
        <v>298.23809523809524</v>
      </c>
    </row>
    <row r="18" spans="1:46" ht="15" customHeight="1" x14ac:dyDescent="0.25">
      <c r="A18" s="6">
        <f t="shared" si="28"/>
        <v>24.31047281185354</v>
      </c>
      <c r="B18" s="7" t="s">
        <v>4</v>
      </c>
      <c r="C18" s="22" t="s">
        <v>38</v>
      </c>
      <c r="D18" s="13" t="str">
        <f t="shared" si="49"/>
        <v>Projectile Repeater</v>
      </c>
      <c r="E18" s="4" t="s">
        <v>65</v>
      </c>
      <c r="F18" s="4" t="s">
        <v>63</v>
      </c>
      <c r="H18" s="32">
        <f t="shared" si="29"/>
        <v>17</v>
      </c>
      <c r="I18" s="8">
        <f t="shared" si="30"/>
        <v>0.6470588235294118</v>
      </c>
      <c r="J18" s="9">
        <f t="shared" si="31"/>
        <v>4.8291139240506329</v>
      </c>
      <c r="K18" s="40">
        <f t="shared" si="32"/>
        <v>9424.9444444444453</v>
      </c>
      <c r="L18" s="40" t="str">
        <f t="shared" si="33"/>
        <v xml:space="preserve"> </v>
      </c>
      <c r="M18" s="40">
        <f t="shared" si="34"/>
        <v>452.38888888888891</v>
      </c>
      <c r="O18" s="10">
        <f t="shared" si="35"/>
        <v>3</v>
      </c>
      <c r="P18" s="10">
        <f t="shared" si="36"/>
        <v>3</v>
      </c>
      <c r="Q18" s="10">
        <f t="shared" si="37"/>
        <v>-144</v>
      </c>
      <c r="R18" s="9">
        <f t="shared" si="38"/>
        <v>0</v>
      </c>
      <c r="T18" s="5" t="s">
        <v>171</v>
      </c>
      <c r="U18" s="32">
        <v>65144</v>
      </c>
      <c r="V18" s="32">
        <v>297</v>
      </c>
      <c r="W18" s="32">
        <v>79</v>
      </c>
      <c r="X18" s="37">
        <v>169</v>
      </c>
      <c r="Y18" s="37">
        <v>1357192</v>
      </c>
      <c r="Z18" s="37">
        <v>1191459</v>
      </c>
      <c r="AA18" s="37">
        <v>551740</v>
      </c>
      <c r="AB18" s="37">
        <v>0</v>
      </c>
      <c r="AC18" s="37">
        <v>0</v>
      </c>
      <c r="AD18" s="37">
        <v>81327</v>
      </c>
      <c r="AE18" s="37">
        <v>524</v>
      </c>
      <c r="AF18" s="32">
        <v>11</v>
      </c>
      <c r="AG18" s="32">
        <v>6</v>
      </c>
      <c r="AH18" s="37">
        <v>144</v>
      </c>
      <c r="AI18" s="39">
        <f t="shared" si="39"/>
        <v>0.1</v>
      </c>
      <c r="AK18" s="9">
        <f t="shared" si="40"/>
        <v>2.0625</v>
      </c>
      <c r="AL18" s="9">
        <f t="shared" si="41"/>
        <v>0.54861111111111116</v>
      </c>
      <c r="AM18" s="6">
        <f t="shared" si="42"/>
        <v>1.1736111111111112</v>
      </c>
      <c r="AN18" s="8">
        <f t="shared" si="43"/>
        <v>0.87788536920347304</v>
      </c>
      <c r="AO18" s="8">
        <f t="shared" si="44"/>
        <v>0.12211463079652694</v>
      </c>
      <c r="AP18" s="40">
        <f t="shared" si="45"/>
        <v>3831.5277777777778</v>
      </c>
      <c r="AQ18" s="40">
        <f t="shared" si="46"/>
        <v>3.6388888888888888</v>
      </c>
      <c r="AR18" s="40" t="str">
        <f t="shared" si="47"/>
        <v xml:space="preserve"> </v>
      </c>
      <c r="AS18" s="40"/>
      <c r="AT18" s="40">
        <f t="shared" si="48"/>
        <v>564.77083333333337</v>
      </c>
    </row>
    <row r="19" spans="1:46" ht="15" customHeight="1" x14ac:dyDescent="0.25">
      <c r="A19" s="6">
        <f t="shared" si="28"/>
        <v>0.77530159971422619</v>
      </c>
      <c r="B19" s="7" t="s">
        <v>54</v>
      </c>
      <c r="C19" s="22" t="s">
        <v>38</v>
      </c>
      <c r="D19" s="13" t="str">
        <f t="shared" si="49"/>
        <v>Projectile Repeater</v>
      </c>
      <c r="E19" s="4" t="s">
        <v>65</v>
      </c>
      <c r="F19" s="4" t="s">
        <v>63</v>
      </c>
      <c r="H19" s="32">
        <f t="shared" si="29"/>
        <v>11</v>
      </c>
      <c r="I19" s="8">
        <f t="shared" si="30"/>
        <v>0.54545454545454541</v>
      </c>
      <c r="J19" s="9">
        <f t="shared" si="31"/>
        <v>2.375</v>
      </c>
      <c r="K19" s="40">
        <f t="shared" si="32"/>
        <v>7528.9238095238097</v>
      </c>
      <c r="L19" s="40" t="str">
        <f t="shared" si="33"/>
        <v xml:space="preserve"> </v>
      </c>
      <c r="M19" s="40">
        <f t="shared" si="34"/>
        <v>375.28571428571428</v>
      </c>
      <c r="O19" s="10">
        <f t="shared" si="35"/>
        <v>6</v>
      </c>
      <c r="P19" s="10">
        <f t="shared" si="36"/>
        <v>6</v>
      </c>
      <c r="Q19" s="10">
        <f t="shared" si="37"/>
        <v>53</v>
      </c>
      <c r="R19" s="9">
        <f t="shared" si="38"/>
        <v>8.8333333333333339</v>
      </c>
      <c r="T19" s="5" t="s">
        <v>142</v>
      </c>
      <c r="U19" s="32">
        <v>39405</v>
      </c>
      <c r="V19" s="32">
        <v>156</v>
      </c>
      <c r="W19" s="32">
        <v>84</v>
      </c>
      <c r="X19" s="37">
        <v>87</v>
      </c>
      <c r="Y19" s="37">
        <v>790537</v>
      </c>
      <c r="Z19" s="37">
        <v>605028</v>
      </c>
      <c r="AA19" s="37">
        <v>483142</v>
      </c>
      <c r="AB19" s="37">
        <v>21815</v>
      </c>
      <c r="AC19" s="37">
        <v>0</v>
      </c>
      <c r="AD19" s="37">
        <v>115835</v>
      </c>
      <c r="AE19" s="37">
        <v>168</v>
      </c>
      <c r="AF19" s="32">
        <v>6</v>
      </c>
      <c r="AG19" s="32">
        <v>5</v>
      </c>
      <c r="AH19" s="37">
        <v>105</v>
      </c>
      <c r="AI19" s="39">
        <f t="shared" si="39"/>
        <v>7.2916666666666671E-2</v>
      </c>
      <c r="AK19" s="9">
        <f t="shared" si="40"/>
        <v>1.4857142857142858</v>
      </c>
      <c r="AL19" s="9">
        <f t="shared" si="41"/>
        <v>0.8</v>
      </c>
      <c r="AM19" s="6">
        <f t="shared" si="42"/>
        <v>0.82857142857142863</v>
      </c>
      <c r="AN19" s="8">
        <f t="shared" si="43"/>
        <v>0.76533799177015116</v>
      </c>
      <c r="AO19" s="8">
        <f t="shared" si="44"/>
        <v>0.23466200822984881</v>
      </c>
      <c r="AP19" s="40">
        <f t="shared" si="45"/>
        <v>4601.3523809523813</v>
      </c>
      <c r="AQ19" s="40">
        <f t="shared" si="46"/>
        <v>1.6</v>
      </c>
      <c r="AR19" s="40">
        <f t="shared" si="47"/>
        <v>207.76190476190476</v>
      </c>
      <c r="AS19" s="40"/>
      <c r="AT19" s="40">
        <f t="shared" si="48"/>
        <v>1103.1904761904761</v>
      </c>
    </row>
    <row r="20" spans="1:46" ht="15" customHeight="1" x14ac:dyDescent="0.25">
      <c r="A20" s="6">
        <f t="shared" si="28"/>
        <v>0.44136167763157885</v>
      </c>
      <c r="B20" s="7" t="s">
        <v>32</v>
      </c>
      <c r="C20" s="22" t="s">
        <v>38</v>
      </c>
      <c r="D20" s="13" t="str">
        <f t="shared" si="49"/>
        <v>Projectile Arc</v>
      </c>
      <c r="E20" s="4" t="s">
        <v>65</v>
      </c>
      <c r="F20" s="4" t="s">
        <v>66</v>
      </c>
      <c r="H20" s="32">
        <f t="shared" si="29"/>
        <v>10</v>
      </c>
      <c r="I20" s="8">
        <f t="shared" si="30"/>
        <v>0.5</v>
      </c>
      <c r="J20" s="9">
        <f t="shared" si="31"/>
        <v>2.76</v>
      </c>
      <c r="K20" s="40">
        <f t="shared" si="32"/>
        <v>5619.6631578947372</v>
      </c>
      <c r="L20" s="40" t="str">
        <f t="shared" si="33"/>
        <v xml:space="preserve"> </v>
      </c>
      <c r="M20" s="40">
        <f t="shared" si="34"/>
        <v>409.37894736842105</v>
      </c>
      <c r="O20" s="10">
        <f t="shared" si="35"/>
        <v>7</v>
      </c>
      <c r="P20" s="10">
        <f t="shared" si="36"/>
        <v>7</v>
      </c>
      <c r="Q20" s="10">
        <f t="shared" si="37"/>
        <v>12</v>
      </c>
      <c r="R20" s="9">
        <f t="shared" si="38"/>
        <v>1.7142857142857142</v>
      </c>
      <c r="T20" s="5" t="s">
        <v>172</v>
      </c>
      <c r="U20" s="32">
        <v>38891</v>
      </c>
      <c r="V20" s="32">
        <v>106</v>
      </c>
      <c r="W20" s="32">
        <v>50</v>
      </c>
      <c r="X20" s="37">
        <v>64</v>
      </c>
      <c r="Y20" s="37">
        <v>533868</v>
      </c>
      <c r="Z20" s="37">
        <v>151971</v>
      </c>
      <c r="AA20" s="37">
        <v>398075</v>
      </c>
      <c r="AB20" s="37">
        <v>22818</v>
      </c>
      <c r="AC20" s="37">
        <v>0</v>
      </c>
      <c r="AD20" s="37">
        <v>109810</v>
      </c>
      <c r="AE20" s="37">
        <v>516</v>
      </c>
      <c r="AF20" s="32">
        <v>5</v>
      </c>
      <c r="AG20" s="32">
        <v>5</v>
      </c>
      <c r="AH20" s="37">
        <v>95</v>
      </c>
      <c r="AI20" s="39">
        <f t="shared" si="39"/>
        <v>6.5972222222222224E-2</v>
      </c>
      <c r="AK20" s="9">
        <f t="shared" si="40"/>
        <v>1.1157894736842104</v>
      </c>
      <c r="AL20" s="9">
        <f t="shared" si="41"/>
        <v>0.52631578947368418</v>
      </c>
      <c r="AM20" s="6">
        <f t="shared" si="42"/>
        <v>0.67368421052631577</v>
      </c>
      <c r="AN20" s="8">
        <f t="shared" si="43"/>
        <v>0.28466025309627097</v>
      </c>
      <c r="AO20" s="8">
        <f t="shared" si="44"/>
        <v>0.71533974690372903</v>
      </c>
      <c r="AP20" s="40">
        <f t="shared" si="45"/>
        <v>4190.2631578947367</v>
      </c>
      <c r="AQ20" s="40">
        <f t="shared" si="46"/>
        <v>5.4315789473684211</v>
      </c>
      <c r="AR20" s="40">
        <f t="shared" si="47"/>
        <v>240.18947368421053</v>
      </c>
      <c r="AS20" s="40"/>
      <c r="AT20" s="40">
        <f t="shared" si="48"/>
        <v>1155.8947368421052</v>
      </c>
    </row>
    <row r="21" spans="1:46" ht="15" customHeight="1" x14ac:dyDescent="0.25">
      <c r="A21" s="6">
        <f t="shared" si="28"/>
        <v>0</v>
      </c>
      <c r="B21" s="7" t="s">
        <v>25</v>
      </c>
      <c r="C21" s="22" t="s">
        <v>38</v>
      </c>
      <c r="D21" s="13" t="str">
        <f t="shared" si="49"/>
        <v>Hitscan Repeater</v>
      </c>
      <c r="E21" s="4" t="s">
        <v>64</v>
      </c>
      <c r="F21" s="4" t="s">
        <v>63</v>
      </c>
      <c r="H21" s="32">
        <f t="shared" si="29"/>
        <v>1</v>
      </c>
      <c r="I21" s="8">
        <f t="shared" si="30"/>
        <v>1</v>
      </c>
      <c r="J21" s="9">
        <f t="shared" si="31"/>
        <v>25</v>
      </c>
      <c r="K21" s="40">
        <f t="shared" si="32"/>
        <v>12173.6</v>
      </c>
      <c r="L21" s="40" t="str">
        <f t="shared" si="33"/>
        <v xml:space="preserve"> </v>
      </c>
      <c r="M21" s="40">
        <f t="shared" si="34"/>
        <v>637</v>
      </c>
      <c r="O21" s="10">
        <f t="shared" si="35"/>
        <v>9</v>
      </c>
      <c r="P21" s="10">
        <f t="shared" si="36"/>
        <v>-1</v>
      </c>
      <c r="Q21" s="10">
        <f t="shared" si="37"/>
        <v>-22</v>
      </c>
      <c r="R21" s="9">
        <f t="shared" si="38"/>
        <v>0</v>
      </c>
      <c r="T21" s="5" t="s">
        <v>173</v>
      </c>
      <c r="U21" s="32">
        <v>3185</v>
      </c>
      <c r="V21" s="32">
        <v>20</v>
      </c>
      <c r="W21" s="32">
        <v>1</v>
      </c>
      <c r="X21" s="37">
        <v>10</v>
      </c>
      <c r="Y21" s="37">
        <v>60868</v>
      </c>
      <c r="Z21" s="37">
        <v>58181</v>
      </c>
      <c r="AA21" s="37">
        <v>10764</v>
      </c>
      <c r="AB21" s="37">
        <v>0</v>
      </c>
      <c r="AC21" s="37">
        <v>0</v>
      </c>
      <c r="AD21" s="37">
        <v>135</v>
      </c>
      <c r="AE21" s="37">
        <v>0</v>
      </c>
      <c r="AF21" s="32">
        <v>1</v>
      </c>
      <c r="AG21" s="32">
        <v>0</v>
      </c>
      <c r="AH21" s="37">
        <v>5</v>
      </c>
      <c r="AI21" s="39">
        <f t="shared" si="39"/>
        <v>3.472222222222222E-3</v>
      </c>
      <c r="AK21" s="9">
        <f t="shared" si="40"/>
        <v>4</v>
      </c>
      <c r="AL21" s="9">
        <f t="shared" si="41"/>
        <v>0.2</v>
      </c>
      <c r="AM21" s="6">
        <f t="shared" si="42"/>
        <v>2</v>
      </c>
      <c r="AN21" s="8">
        <f t="shared" si="43"/>
        <v>0.95585529342183084</v>
      </c>
      <c r="AO21" s="8">
        <f t="shared" si="44"/>
        <v>4.414470657816915E-2</v>
      </c>
      <c r="AP21" s="40">
        <f t="shared" si="45"/>
        <v>2152.8000000000002</v>
      </c>
      <c r="AQ21" s="40" t="str">
        <f t="shared" si="46"/>
        <v xml:space="preserve"> </v>
      </c>
      <c r="AR21" s="40" t="str">
        <f t="shared" si="47"/>
        <v xml:space="preserve"> </v>
      </c>
      <c r="AS21" s="40"/>
      <c r="AT21" s="40">
        <f t="shared" si="48"/>
        <v>27</v>
      </c>
    </row>
    <row r="22" spans="1:46" ht="15" customHeight="1" x14ac:dyDescent="0.25">
      <c r="A22" s="6">
        <f t="shared" si="28"/>
        <v>36.14888442081179</v>
      </c>
      <c r="B22" s="7" t="s">
        <v>22</v>
      </c>
      <c r="C22" s="22" t="s">
        <v>38</v>
      </c>
      <c r="D22" s="13" t="str">
        <f t="shared" si="49"/>
        <v>Projectile Repeater</v>
      </c>
      <c r="E22" s="4" t="s">
        <v>65</v>
      </c>
      <c r="F22" s="4" t="s">
        <v>63</v>
      </c>
      <c r="H22" s="32">
        <f t="shared" si="29"/>
        <v>34</v>
      </c>
      <c r="I22" s="8">
        <f t="shared" si="30"/>
        <v>0.52941176470588236</v>
      </c>
      <c r="J22" s="9">
        <f t="shared" si="31"/>
        <v>2.7367149758454108</v>
      </c>
      <c r="K22" s="40">
        <f t="shared" si="32"/>
        <v>6674.1538461538457</v>
      </c>
      <c r="L22" s="40" t="str">
        <f t="shared" si="33"/>
        <v xml:space="preserve"> </v>
      </c>
      <c r="M22" s="40">
        <f t="shared" si="34"/>
        <v>405.48829431438128</v>
      </c>
      <c r="O22" s="10">
        <f t="shared" si="35"/>
        <v>20</v>
      </c>
      <c r="P22" s="10">
        <f t="shared" si="36"/>
        <v>20</v>
      </c>
      <c r="Q22" s="10">
        <f t="shared" si="37"/>
        <v>55</v>
      </c>
      <c r="R22" s="9">
        <f t="shared" si="38"/>
        <v>2.75</v>
      </c>
      <c r="T22" s="5" t="s">
        <v>176</v>
      </c>
      <c r="U22" s="32">
        <v>121241</v>
      </c>
      <c r="V22" s="32">
        <v>352</v>
      </c>
      <c r="W22" s="32">
        <v>207</v>
      </c>
      <c r="X22" s="37">
        <v>429</v>
      </c>
      <c r="Y22" s="37">
        <v>1995572</v>
      </c>
      <c r="Z22" s="37">
        <v>1645427</v>
      </c>
      <c r="AA22" s="37">
        <v>1127446</v>
      </c>
      <c r="AB22" s="37">
        <v>0</v>
      </c>
      <c r="AC22" s="37">
        <v>0</v>
      </c>
      <c r="AD22" s="37">
        <v>99885</v>
      </c>
      <c r="AE22" s="37">
        <v>848</v>
      </c>
      <c r="AF22" s="32">
        <v>18</v>
      </c>
      <c r="AG22" s="32">
        <v>16</v>
      </c>
      <c r="AH22" s="37">
        <v>299</v>
      </c>
      <c r="AI22" s="39">
        <f t="shared" si="39"/>
        <v>0.2076388888888889</v>
      </c>
      <c r="AK22" s="9">
        <f t="shared" si="40"/>
        <v>1.1772575250836121</v>
      </c>
      <c r="AL22" s="9">
        <f t="shared" si="41"/>
        <v>0.69230769230769229</v>
      </c>
      <c r="AM22" s="6">
        <f t="shared" si="42"/>
        <v>1.4347826086956521</v>
      </c>
      <c r="AN22" s="8">
        <f t="shared" si="43"/>
        <v>0.82453902941111623</v>
      </c>
      <c r="AO22" s="8">
        <f t="shared" si="44"/>
        <v>0.1754609705888838</v>
      </c>
      <c r="AP22" s="40">
        <f t="shared" si="45"/>
        <v>3770.7224080267561</v>
      </c>
      <c r="AQ22" s="40">
        <f t="shared" si="46"/>
        <v>2.8361204013377925</v>
      </c>
      <c r="AR22" s="40" t="str">
        <f t="shared" si="47"/>
        <v xml:space="preserve"> </v>
      </c>
      <c r="AS22" s="40"/>
      <c r="AT22" s="40">
        <f t="shared" si="48"/>
        <v>334.06354515050168</v>
      </c>
    </row>
    <row r="23" spans="1:46" ht="15" customHeight="1" x14ac:dyDescent="0.25">
      <c r="A23" s="6">
        <f t="shared" si="28"/>
        <v>55.016613739069264</v>
      </c>
      <c r="B23" s="7" t="s">
        <v>6</v>
      </c>
      <c r="C23" s="22" t="s">
        <v>38</v>
      </c>
      <c r="D23" s="13" t="str">
        <f t="shared" si="49"/>
        <v>Hitscan Tracking</v>
      </c>
      <c r="E23" s="4" t="s">
        <v>64</v>
      </c>
      <c r="F23" s="12" t="s">
        <v>91</v>
      </c>
      <c r="H23" s="32">
        <f t="shared" si="29"/>
        <v>75</v>
      </c>
      <c r="I23" s="8">
        <f t="shared" si="30"/>
        <v>0.58666666666666667</v>
      </c>
      <c r="J23" s="9">
        <f t="shared" si="31"/>
        <v>3.3854679802955663</v>
      </c>
      <c r="K23" s="40">
        <f t="shared" si="32"/>
        <v>7194.248579545455</v>
      </c>
      <c r="L23" s="40" t="str">
        <f t="shared" si="33"/>
        <v xml:space="preserve"> </v>
      </c>
      <c r="M23" s="40">
        <f t="shared" si="34"/>
        <v>366.54261363636363</v>
      </c>
      <c r="O23" s="10">
        <f t="shared" si="35"/>
        <v>29</v>
      </c>
      <c r="P23" s="10">
        <f t="shared" si="36"/>
        <v>29</v>
      </c>
      <c r="Q23" s="10">
        <f t="shared" si="37"/>
        <v>-156</v>
      </c>
      <c r="R23" s="9">
        <f t="shared" si="38"/>
        <v>0</v>
      </c>
      <c r="T23" s="5" t="s">
        <v>175</v>
      </c>
      <c r="U23" s="32">
        <v>258046</v>
      </c>
      <c r="V23" s="32">
        <v>955</v>
      </c>
      <c r="W23" s="32">
        <v>406</v>
      </c>
      <c r="X23" s="37">
        <v>839</v>
      </c>
      <c r="Y23" s="37">
        <v>5064751</v>
      </c>
      <c r="Z23" s="37">
        <v>3426497</v>
      </c>
      <c r="AA23" s="37">
        <v>3194040</v>
      </c>
      <c r="AB23" s="37">
        <v>0</v>
      </c>
      <c r="AC23" s="37">
        <v>0</v>
      </c>
      <c r="AD23" s="37">
        <v>651666</v>
      </c>
      <c r="AE23" s="37">
        <v>2816</v>
      </c>
      <c r="AF23" s="32">
        <v>44</v>
      </c>
      <c r="AG23" s="32">
        <v>31</v>
      </c>
      <c r="AH23" s="37">
        <v>704</v>
      </c>
      <c r="AI23" s="39">
        <f t="shared" si="39"/>
        <v>0.48888888888888887</v>
      </c>
      <c r="AK23" s="9">
        <f t="shared" si="40"/>
        <v>1.3565340909090908</v>
      </c>
      <c r="AL23" s="9">
        <f t="shared" si="41"/>
        <v>0.57670454545454541</v>
      </c>
      <c r="AM23" s="6">
        <f t="shared" si="42"/>
        <v>1.1917613636363635</v>
      </c>
      <c r="AN23" s="8">
        <f t="shared" si="43"/>
        <v>0.67653809634471662</v>
      </c>
      <c r="AO23" s="8">
        <f t="shared" si="44"/>
        <v>0.32346190365528332</v>
      </c>
      <c r="AP23" s="40">
        <f t="shared" si="45"/>
        <v>4536.988636363636</v>
      </c>
      <c r="AQ23" s="40">
        <f t="shared" si="46"/>
        <v>4</v>
      </c>
      <c r="AR23" s="40" t="str">
        <f t="shared" si="47"/>
        <v xml:space="preserve"> </v>
      </c>
      <c r="AS23" s="40"/>
      <c r="AT23" s="40">
        <f t="shared" si="48"/>
        <v>925.66193181818187</v>
      </c>
    </row>
    <row r="24" spans="1:46" ht="15" customHeight="1" x14ac:dyDescent="0.25">
      <c r="A24" s="6">
        <f t="shared" si="28"/>
        <v>1.7862319072217674</v>
      </c>
      <c r="B24" s="7" t="s">
        <v>24</v>
      </c>
      <c r="C24" s="22" t="s">
        <v>38</v>
      </c>
      <c r="D24" s="13" t="str">
        <f t="shared" si="49"/>
        <v>Projectile Arc</v>
      </c>
      <c r="E24" s="4" t="s">
        <v>65</v>
      </c>
      <c r="F24" s="4" t="s">
        <v>66</v>
      </c>
      <c r="H24" s="32">
        <f t="shared" si="29"/>
        <v>10</v>
      </c>
      <c r="I24" s="8">
        <f t="shared" si="30"/>
        <v>1</v>
      </c>
      <c r="J24" s="9">
        <f t="shared" si="31"/>
        <v>3.8936170212765959</v>
      </c>
      <c r="K24" s="40">
        <f t="shared" si="32"/>
        <v>9578.1923076923085</v>
      </c>
      <c r="L24" s="40" t="str">
        <f t="shared" si="33"/>
        <v xml:space="preserve"> </v>
      </c>
      <c r="M24" s="40">
        <f t="shared" si="34"/>
        <v>587.21153846153845</v>
      </c>
      <c r="O24" s="10">
        <f t="shared" si="35"/>
        <v>0</v>
      </c>
      <c r="P24" s="10">
        <f t="shared" si="36"/>
        <v>-10</v>
      </c>
      <c r="Q24" s="10">
        <f t="shared" si="37"/>
        <v>-42</v>
      </c>
      <c r="R24" s="9">
        <f t="shared" si="38"/>
        <v>0</v>
      </c>
      <c r="T24" s="5" t="s">
        <v>210</v>
      </c>
      <c r="U24" s="32">
        <v>30535</v>
      </c>
      <c r="V24" s="32">
        <v>146</v>
      </c>
      <c r="W24" s="32">
        <v>47</v>
      </c>
      <c r="X24" s="37">
        <v>74</v>
      </c>
      <c r="Y24" s="37">
        <v>498066</v>
      </c>
      <c r="Z24" s="37">
        <v>441459</v>
      </c>
      <c r="AA24" s="37">
        <v>332989</v>
      </c>
      <c r="AB24" s="37">
        <v>0</v>
      </c>
      <c r="AC24" s="37">
        <v>0</v>
      </c>
      <c r="AD24" s="37">
        <v>59474</v>
      </c>
      <c r="AE24" s="37">
        <v>0</v>
      </c>
      <c r="AF24" s="32">
        <v>10</v>
      </c>
      <c r="AG24" s="32">
        <v>0</v>
      </c>
      <c r="AH24" s="37">
        <v>52</v>
      </c>
      <c r="AI24" s="39">
        <f t="shared" si="39"/>
        <v>3.6111111111111108E-2</v>
      </c>
      <c r="AK24" s="9">
        <f t="shared" si="40"/>
        <v>2.8076923076923075</v>
      </c>
      <c r="AL24" s="9">
        <f t="shared" si="41"/>
        <v>0.90384615384615385</v>
      </c>
      <c r="AM24" s="6">
        <f t="shared" si="42"/>
        <v>1.4230769230769231</v>
      </c>
      <c r="AN24" s="8">
        <f t="shared" si="43"/>
        <v>0.88634638782811914</v>
      </c>
      <c r="AO24" s="8">
        <f t="shared" si="44"/>
        <v>0.11365361217188083</v>
      </c>
      <c r="AP24" s="40">
        <f t="shared" si="45"/>
        <v>6403.6346153846152</v>
      </c>
      <c r="AQ24" s="40" t="str">
        <f t="shared" si="46"/>
        <v xml:space="preserve"> </v>
      </c>
      <c r="AR24" s="40" t="str">
        <f t="shared" si="47"/>
        <v xml:space="preserve"> </v>
      </c>
      <c r="AS24" s="40"/>
      <c r="AT24" s="40">
        <f t="shared" si="48"/>
        <v>1143.7307692307693</v>
      </c>
    </row>
    <row r="25" spans="1:46" ht="15" customHeight="1" x14ac:dyDescent="0.25">
      <c r="A25" s="6" t="str">
        <f t="shared" si="28"/>
        <v xml:space="preserve"> </v>
      </c>
      <c r="B25" s="7" t="s">
        <v>26</v>
      </c>
      <c r="C25" s="22" t="s">
        <v>38</v>
      </c>
      <c r="D25" s="13" t="str">
        <f t="shared" si="49"/>
        <v>Projectile Repeater</v>
      </c>
      <c r="E25" s="4" t="s">
        <v>65</v>
      </c>
      <c r="F25" s="4" t="s">
        <v>63</v>
      </c>
      <c r="H25" s="32" t="str">
        <f t="shared" si="29"/>
        <v xml:space="preserve"> </v>
      </c>
      <c r="I25" s="8" t="str">
        <f t="shared" si="30"/>
        <v/>
      </c>
      <c r="J25" s="9" t="str">
        <f t="shared" si="31"/>
        <v xml:space="preserve"> </v>
      </c>
      <c r="K25" s="40" t="str">
        <f t="shared" si="32"/>
        <v xml:space="preserve"> </v>
      </c>
      <c r="L25" s="40" t="str">
        <f t="shared" si="33"/>
        <v xml:space="preserve"> </v>
      </c>
      <c r="M25" s="40" t="str">
        <f t="shared" si="34"/>
        <v xml:space="preserve"> </v>
      </c>
      <c r="O25" s="10" t="str">
        <f t="shared" si="35"/>
        <v xml:space="preserve"> </v>
      </c>
      <c r="P25" s="10" t="str">
        <f t="shared" si="36"/>
        <v xml:space="preserve"> </v>
      </c>
      <c r="Q25" s="10" t="str">
        <f t="shared" si="37"/>
        <v xml:space="preserve"> </v>
      </c>
      <c r="R25" s="9" t="e">
        <f t="shared" si="38"/>
        <v>#VALUE!</v>
      </c>
      <c r="X25" s="37"/>
      <c r="Y25" s="37"/>
      <c r="Z25" s="37"/>
      <c r="AA25" s="37"/>
      <c r="AB25" s="37"/>
      <c r="AC25" s="37"/>
      <c r="AD25" s="37"/>
      <c r="AE25" s="37"/>
      <c r="AH25" s="37"/>
      <c r="AI25" s="39" t="str">
        <f t="shared" si="39"/>
        <v xml:space="preserve"> </v>
      </c>
      <c r="AK25" s="9" t="str">
        <f t="shared" si="40"/>
        <v xml:space="preserve"> </v>
      </c>
      <c r="AL25" s="9" t="str">
        <f t="shared" si="41"/>
        <v xml:space="preserve"> </v>
      </c>
      <c r="AM25" s="6" t="str">
        <f t="shared" si="42"/>
        <v xml:space="preserve"> </v>
      </c>
      <c r="AN25" s="8" t="str">
        <f t="shared" si="43"/>
        <v xml:space="preserve"> </v>
      </c>
      <c r="AO25" s="8" t="str">
        <f t="shared" si="44"/>
        <v xml:space="preserve"> </v>
      </c>
      <c r="AP25" s="40" t="str">
        <f t="shared" si="45"/>
        <v xml:space="preserve"> </v>
      </c>
      <c r="AQ25" s="40" t="str">
        <f t="shared" si="46"/>
        <v xml:space="preserve"> </v>
      </c>
      <c r="AR25" s="40" t="str">
        <f t="shared" si="47"/>
        <v xml:space="preserve"> </v>
      </c>
      <c r="AS25" s="40"/>
      <c r="AT25" s="40" t="str">
        <f t="shared" si="48"/>
        <v xml:space="preserve"> </v>
      </c>
    </row>
    <row r="26" spans="1:46" ht="15" customHeight="1" x14ac:dyDescent="0.25">
      <c r="A26" s="6" t="str">
        <f t="shared" si="28"/>
        <v xml:space="preserve"> </v>
      </c>
      <c r="B26" s="7" t="s">
        <v>47</v>
      </c>
      <c r="C26" s="22" t="s">
        <v>38</v>
      </c>
      <c r="D26" s="13" t="str">
        <f t="shared" si="49"/>
        <v>Projectile Repeater Charge</v>
      </c>
      <c r="E26" s="4" t="s">
        <v>65</v>
      </c>
      <c r="F26" s="12" t="s">
        <v>89</v>
      </c>
      <c r="H26" s="32" t="str">
        <f t="shared" si="29"/>
        <v xml:space="preserve"> </v>
      </c>
      <c r="I26" s="8" t="str">
        <f t="shared" si="30"/>
        <v/>
      </c>
      <c r="J26" s="9" t="str">
        <f t="shared" si="31"/>
        <v xml:space="preserve"> </v>
      </c>
      <c r="K26" s="40" t="str">
        <f t="shared" si="32"/>
        <v xml:space="preserve"> </v>
      </c>
      <c r="L26" s="40" t="str">
        <f t="shared" si="33"/>
        <v xml:space="preserve"> </v>
      </c>
      <c r="M26" s="40" t="str">
        <f t="shared" si="34"/>
        <v xml:space="preserve"> </v>
      </c>
      <c r="O26" s="10" t="str">
        <f t="shared" si="35"/>
        <v xml:space="preserve"> </v>
      </c>
      <c r="P26" s="10" t="str">
        <f t="shared" si="36"/>
        <v xml:space="preserve"> </v>
      </c>
      <c r="Q26" s="10" t="str">
        <f t="shared" si="37"/>
        <v xml:space="preserve"> </v>
      </c>
      <c r="R26" s="9" t="e">
        <f t="shared" si="38"/>
        <v>#VALUE!</v>
      </c>
      <c r="X26" s="37"/>
      <c r="Y26" s="37"/>
      <c r="Z26" s="37"/>
      <c r="AA26" s="37"/>
      <c r="AB26" s="37"/>
      <c r="AC26" s="37"/>
      <c r="AD26" s="37"/>
      <c r="AE26" s="37"/>
      <c r="AH26" s="37"/>
      <c r="AI26" s="39" t="str">
        <f t="shared" si="39"/>
        <v xml:space="preserve"> </v>
      </c>
      <c r="AK26" s="9" t="str">
        <f t="shared" si="40"/>
        <v xml:space="preserve"> </v>
      </c>
      <c r="AL26" s="9" t="str">
        <f t="shared" si="41"/>
        <v xml:space="preserve"> </v>
      </c>
      <c r="AM26" s="6" t="str">
        <f t="shared" si="42"/>
        <v xml:space="preserve"> </v>
      </c>
      <c r="AN26" s="8" t="str">
        <f t="shared" si="43"/>
        <v xml:space="preserve"> </v>
      </c>
      <c r="AO26" s="8" t="str">
        <f t="shared" si="44"/>
        <v xml:space="preserve"> </v>
      </c>
      <c r="AP26" s="40" t="str">
        <f t="shared" si="45"/>
        <v xml:space="preserve"> </v>
      </c>
      <c r="AQ26" s="40" t="str">
        <f t="shared" si="46"/>
        <v xml:space="preserve"> </v>
      </c>
      <c r="AR26" s="40" t="str">
        <f t="shared" si="47"/>
        <v xml:space="preserve"> </v>
      </c>
      <c r="AS26" s="40"/>
      <c r="AT26" s="40" t="str">
        <f t="shared" si="48"/>
        <v xml:space="preserve"> </v>
      </c>
    </row>
    <row r="27" spans="1:46" ht="15" customHeight="1" x14ac:dyDescent="0.25">
      <c r="A27" s="6" t="str">
        <f t="shared" si="28"/>
        <v xml:space="preserve"> </v>
      </c>
      <c r="B27" s="7" t="s">
        <v>16</v>
      </c>
      <c r="C27" s="22" t="s">
        <v>38</v>
      </c>
      <c r="D27" s="13" t="str">
        <f t="shared" si="49"/>
        <v>Hitscan Charge</v>
      </c>
      <c r="E27" s="4" t="s">
        <v>64</v>
      </c>
      <c r="F27" s="4" t="s">
        <v>62</v>
      </c>
      <c r="H27" s="32" t="str">
        <f t="shared" si="29"/>
        <v xml:space="preserve"> </v>
      </c>
      <c r="I27" s="8" t="str">
        <f t="shared" si="30"/>
        <v/>
      </c>
      <c r="J27" s="9" t="str">
        <f t="shared" si="31"/>
        <v xml:space="preserve"> </v>
      </c>
      <c r="K27" s="40" t="str">
        <f t="shared" si="32"/>
        <v xml:space="preserve"> </v>
      </c>
      <c r="L27" s="40" t="str">
        <f t="shared" si="33"/>
        <v xml:space="preserve"> </v>
      </c>
      <c r="M27" s="40" t="str">
        <f t="shared" si="34"/>
        <v xml:space="preserve"> </v>
      </c>
      <c r="O27" s="10" t="str">
        <f t="shared" si="35"/>
        <v xml:space="preserve"> </v>
      </c>
      <c r="P27" s="10" t="str">
        <f t="shared" si="36"/>
        <v xml:space="preserve"> </v>
      </c>
      <c r="Q27" s="10" t="str">
        <f t="shared" si="37"/>
        <v xml:space="preserve"> </v>
      </c>
      <c r="R27" s="9" t="e">
        <f t="shared" si="38"/>
        <v>#VALUE!</v>
      </c>
      <c r="X27" s="37"/>
      <c r="Y27" s="37"/>
      <c r="Z27" s="37"/>
      <c r="AA27" s="37"/>
      <c r="AB27" s="37"/>
      <c r="AC27" s="37"/>
      <c r="AD27" s="37"/>
      <c r="AE27" s="37"/>
      <c r="AH27" s="37"/>
      <c r="AI27" s="39" t="str">
        <f t="shared" si="39"/>
        <v xml:space="preserve"> </v>
      </c>
      <c r="AK27" s="9" t="str">
        <f t="shared" si="40"/>
        <v xml:space="preserve"> </v>
      </c>
      <c r="AL27" s="9" t="str">
        <f t="shared" si="41"/>
        <v xml:space="preserve"> </v>
      </c>
      <c r="AM27" s="6" t="str">
        <f t="shared" si="42"/>
        <v xml:space="preserve"> </v>
      </c>
      <c r="AN27" s="8" t="str">
        <f t="shared" si="43"/>
        <v xml:space="preserve"> </v>
      </c>
      <c r="AO27" s="8" t="str">
        <f t="shared" si="44"/>
        <v xml:space="preserve"> </v>
      </c>
      <c r="AP27" s="40" t="str">
        <f t="shared" si="45"/>
        <v xml:space="preserve"> </v>
      </c>
      <c r="AQ27" s="40" t="str">
        <f t="shared" si="46"/>
        <v xml:space="preserve"> </v>
      </c>
      <c r="AR27" s="40" t="str">
        <f t="shared" si="47"/>
        <v xml:space="preserve"> </v>
      </c>
      <c r="AS27" s="40"/>
      <c r="AT27" s="40" t="str">
        <f t="shared" si="48"/>
        <v xml:space="preserve"> </v>
      </c>
    </row>
    <row r="28" spans="1:46" ht="15" customHeight="1" x14ac:dyDescent="0.25">
      <c r="A28" s="6" t="str">
        <f t="shared" si="28"/>
        <v xml:space="preserve"> </v>
      </c>
      <c r="B28" s="7" t="s">
        <v>19</v>
      </c>
      <c r="C28" s="22" t="s">
        <v>38</v>
      </c>
      <c r="D28" s="13" t="str">
        <f t="shared" si="49"/>
        <v>Hitscan Repeater</v>
      </c>
      <c r="E28" s="4" t="s">
        <v>64</v>
      </c>
      <c r="F28" s="4" t="s">
        <v>63</v>
      </c>
      <c r="H28" s="32" t="str">
        <f t="shared" si="29"/>
        <v xml:space="preserve"> </v>
      </c>
      <c r="I28" s="8" t="str">
        <f t="shared" si="30"/>
        <v/>
      </c>
      <c r="J28" s="9" t="str">
        <f t="shared" si="31"/>
        <v xml:space="preserve"> </v>
      </c>
      <c r="K28" s="40" t="str">
        <f t="shared" si="32"/>
        <v xml:space="preserve"> </v>
      </c>
      <c r="L28" s="40" t="str">
        <f t="shared" si="33"/>
        <v xml:space="preserve"> </v>
      </c>
      <c r="M28" s="40" t="str">
        <f t="shared" si="34"/>
        <v xml:space="preserve"> </v>
      </c>
      <c r="O28" s="10" t="str">
        <f t="shared" si="35"/>
        <v xml:space="preserve"> </v>
      </c>
      <c r="P28" s="10" t="str">
        <f t="shared" si="36"/>
        <v xml:space="preserve"> </v>
      </c>
      <c r="Q28" s="10" t="str">
        <f t="shared" si="37"/>
        <v xml:space="preserve"> </v>
      </c>
      <c r="R28" s="9" t="e">
        <f t="shared" si="38"/>
        <v>#VALUE!</v>
      </c>
      <c r="X28" s="37"/>
      <c r="Y28" s="37"/>
      <c r="Z28" s="37"/>
      <c r="AA28" s="37"/>
      <c r="AB28" s="37"/>
      <c r="AC28" s="37"/>
      <c r="AD28" s="37"/>
      <c r="AE28" s="37"/>
      <c r="AH28" s="37"/>
      <c r="AI28" s="39" t="str">
        <f t="shared" si="39"/>
        <v xml:space="preserve"> </v>
      </c>
      <c r="AK28" s="9" t="str">
        <f t="shared" si="40"/>
        <v xml:space="preserve"> </v>
      </c>
      <c r="AL28" s="9" t="str">
        <f t="shared" si="41"/>
        <v xml:space="preserve"> </v>
      </c>
      <c r="AM28" s="6" t="str">
        <f t="shared" si="42"/>
        <v xml:space="preserve"> </v>
      </c>
      <c r="AN28" s="8" t="str">
        <f t="shared" si="43"/>
        <v xml:space="preserve"> </v>
      </c>
      <c r="AO28" s="8" t="str">
        <f t="shared" si="44"/>
        <v xml:space="preserve"> </v>
      </c>
      <c r="AP28" s="40" t="str">
        <f t="shared" si="45"/>
        <v xml:space="preserve"> </v>
      </c>
      <c r="AQ28" s="40" t="str">
        <f t="shared" si="46"/>
        <v xml:space="preserve"> </v>
      </c>
      <c r="AR28" s="40" t="str">
        <f t="shared" si="47"/>
        <v xml:space="preserve"> </v>
      </c>
      <c r="AS28" s="40"/>
      <c r="AT28" s="40" t="str">
        <f t="shared" si="48"/>
        <v xml:space="preserve"> </v>
      </c>
    </row>
    <row r="29" spans="1:46" ht="15" customHeight="1" x14ac:dyDescent="0.25">
      <c r="A29" s="6" t="str">
        <f t="shared" si="28"/>
        <v xml:space="preserve"> </v>
      </c>
      <c r="B29" s="7" t="s">
        <v>31</v>
      </c>
      <c r="C29" s="22" t="s">
        <v>38</v>
      </c>
      <c r="D29" s="13" t="str">
        <f t="shared" si="49"/>
        <v>Hitscan Tracking</v>
      </c>
      <c r="E29" s="4" t="s">
        <v>64</v>
      </c>
      <c r="F29" s="4" t="s">
        <v>91</v>
      </c>
      <c r="H29" s="32" t="str">
        <f t="shared" si="29"/>
        <v xml:space="preserve"> </v>
      </c>
      <c r="I29" s="8" t="str">
        <f t="shared" si="30"/>
        <v/>
      </c>
      <c r="J29" s="9" t="str">
        <f t="shared" si="31"/>
        <v xml:space="preserve"> </v>
      </c>
      <c r="K29" s="40" t="str">
        <f t="shared" si="32"/>
        <v xml:space="preserve"> </v>
      </c>
      <c r="L29" s="40" t="str">
        <f t="shared" si="33"/>
        <v xml:space="preserve"> </v>
      </c>
      <c r="M29" s="40" t="str">
        <f t="shared" si="34"/>
        <v xml:space="preserve"> </v>
      </c>
      <c r="O29" s="10" t="str">
        <f t="shared" si="35"/>
        <v xml:space="preserve"> </v>
      </c>
      <c r="P29" s="10" t="str">
        <f t="shared" si="36"/>
        <v xml:space="preserve"> </v>
      </c>
      <c r="Q29" s="10" t="str">
        <f t="shared" si="37"/>
        <v xml:space="preserve"> </v>
      </c>
      <c r="R29" s="9" t="e">
        <f t="shared" si="38"/>
        <v>#VALUE!</v>
      </c>
      <c r="X29" s="37"/>
      <c r="Y29" s="37"/>
      <c r="Z29" s="37"/>
      <c r="AA29" s="37"/>
      <c r="AB29" s="37"/>
      <c r="AC29" s="37"/>
      <c r="AD29" s="37"/>
      <c r="AE29" s="37"/>
      <c r="AH29" s="37"/>
      <c r="AI29" s="39" t="str">
        <f t="shared" si="39"/>
        <v xml:space="preserve"> </v>
      </c>
      <c r="AK29" s="9" t="str">
        <f t="shared" si="40"/>
        <v xml:space="preserve"> </v>
      </c>
      <c r="AL29" s="9" t="str">
        <f t="shared" si="41"/>
        <v xml:space="preserve"> </v>
      </c>
      <c r="AM29" s="6" t="str">
        <f t="shared" si="42"/>
        <v xml:space="preserve"> </v>
      </c>
      <c r="AN29" s="8" t="str">
        <f t="shared" si="43"/>
        <v xml:space="preserve"> </v>
      </c>
      <c r="AO29" s="8" t="str">
        <f t="shared" si="44"/>
        <v xml:space="preserve"> </v>
      </c>
      <c r="AP29" s="40" t="str">
        <f t="shared" si="45"/>
        <v xml:space="preserve"> </v>
      </c>
      <c r="AQ29" s="40" t="str">
        <f t="shared" si="46"/>
        <v xml:space="preserve"> </v>
      </c>
      <c r="AR29" s="40" t="str">
        <f t="shared" si="47"/>
        <v xml:space="preserve"> </v>
      </c>
      <c r="AS29" s="40"/>
      <c r="AT29" s="40" t="str">
        <f t="shared" si="48"/>
        <v xml:space="preserve"> </v>
      </c>
    </row>
    <row r="30" spans="1:46" ht="15" customHeight="1" x14ac:dyDescent="0.25">
      <c r="A30" s="6" t="str">
        <f t="shared" si="28"/>
        <v xml:space="preserve"> </v>
      </c>
      <c r="B30" s="7" t="s">
        <v>27</v>
      </c>
      <c r="C30" s="22" t="s">
        <v>38</v>
      </c>
      <c r="D30" s="13" t="str">
        <f t="shared" si="49"/>
        <v>Hitscan Tracking</v>
      </c>
      <c r="E30" s="4" t="s">
        <v>64</v>
      </c>
      <c r="F30" s="4" t="s">
        <v>91</v>
      </c>
      <c r="H30" s="32" t="str">
        <f t="shared" si="29"/>
        <v xml:space="preserve"> </v>
      </c>
      <c r="I30" s="8" t="str">
        <f t="shared" si="30"/>
        <v/>
      </c>
      <c r="J30" s="9" t="str">
        <f t="shared" si="31"/>
        <v xml:space="preserve"> </v>
      </c>
      <c r="K30" s="40" t="str">
        <f t="shared" si="32"/>
        <v xml:space="preserve"> </v>
      </c>
      <c r="L30" s="40" t="str">
        <f t="shared" si="33"/>
        <v xml:space="preserve"> </v>
      </c>
      <c r="M30" s="40" t="str">
        <f t="shared" si="34"/>
        <v xml:space="preserve"> </v>
      </c>
      <c r="O30" s="10" t="str">
        <f t="shared" si="35"/>
        <v xml:space="preserve"> </v>
      </c>
      <c r="P30" s="10" t="str">
        <f t="shared" si="36"/>
        <v xml:space="preserve"> </v>
      </c>
      <c r="Q30" s="10" t="str">
        <f t="shared" si="37"/>
        <v xml:space="preserve"> </v>
      </c>
      <c r="R30" s="9" t="e">
        <f t="shared" si="38"/>
        <v>#VALUE!</v>
      </c>
      <c r="X30" s="37"/>
      <c r="Y30" s="37"/>
      <c r="Z30" s="37"/>
      <c r="AA30" s="37"/>
      <c r="AB30" s="37"/>
      <c r="AC30" s="37"/>
      <c r="AD30" s="37"/>
      <c r="AE30" s="37"/>
      <c r="AH30" s="37"/>
      <c r="AI30" s="39" t="str">
        <f t="shared" si="39"/>
        <v xml:space="preserve"> </v>
      </c>
      <c r="AK30" s="9" t="str">
        <f t="shared" si="40"/>
        <v xml:space="preserve"> </v>
      </c>
      <c r="AL30" s="9" t="str">
        <f t="shared" si="41"/>
        <v xml:space="preserve"> </v>
      </c>
      <c r="AM30" s="6" t="str">
        <f t="shared" si="42"/>
        <v xml:space="preserve"> </v>
      </c>
      <c r="AN30" s="8" t="str">
        <f t="shared" si="43"/>
        <v xml:space="preserve"> </v>
      </c>
      <c r="AO30" s="8" t="str">
        <f t="shared" si="44"/>
        <v xml:space="preserve"> </v>
      </c>
      <c r="AP30" s="40" t="str">
        <f t="shared" si="45"/>
        <v xml:space="preserve"> </v>
      </c>
      <c r="AQ30" s="40" t="str">
        <f t="shared" si="46"/>
        <v xml:space="preserve"> </v>
      </c>
      <c r="AR30" s="40" t="str">
        <f t="shared" si="47"/>
        <v xml:space="preserve"> </v>
      </c>
      <c r="AS30" s="40"/>
      <c r="AT30" s="40" t="str">
        <f t="shared" si="48"/>
        <v xml:space="preserve"> </v>
      </c>
    </row>
    <row r="31" spans="1:46" ht="15" customHeight="1" x14ac:dyDescent="0.25">
      <c r="A31" s="6">
        <f t="shared" si="28"/>
        <v>70.932927670017548</v>
      </c>
      <c r="B31" s="7" t="s">
        <v>28</v>
      </c>
      <c r="C31" s="22" t="s">
        <v>39</v>
      </c>
      <c r="D31" s="13" t="str">
        <f t="shared" si="49"/>
        <v>Projectile Repeater</v>
      </c>
      <c r="E31" s="4" t="s">
        <v>65</v>
      </c>
      <c r="F31" s="4" t="s">
        <v>63</v>
      </c>
      <c r="H31" s="32">
        <f t="shared" si="29"/>
        <v>56</v>
      </c>
      <c r="I31" s="8">
        <f t="shared" si="30"/>
        <v>0.7857142857142857</v>
      </c>
      <c r="J31" s="9">
        <f t="shared" si="31"/>
        <v>3.1842948717948718</v>
      </c>
      <c r="K31" s="40">
        <f t="shared" si="32"/>
        <v>6699.0752475247527</v>
      </c>
      <c r="L31" s="40" t="str">
        <f t="shared" si="33"/>
        <v xml:space="preserve"> </v>
      </c>
      <c r="M31" s="40">
        <f t="shared" si="34"/>
        <v>387.80792079207919</v>
      </c>
      <c r="O31" s="10">
        <f t="shared" si="35"/>
        <v>-16</v>
      </c>
      <c r="P31" s="10">
        <f t="shared" si="36"/>
        <v>-16</v>
      </c>
      <c r="Q31" s="10">
        <f t="shared" si="37"/>
        <v>-57</v>
      </c>
      <c r="R31" s="9">
        <f t="shared" si="38"/>
        <v>0</v>
      </c>
      <c r="T31" s="5" t="s">
        <v>182</v>
      </c>
      <c r="U31" s="32">
        <v>195843</v>
      </c>
      <c r="V31" s="32">
        <v>734</v>
      </c>
      <c r="W31" s="32">
        <v>312</v>
      </c>
      <c r="X31" s="32">
        <v>519</v>
      </c>
      <c r="Y31" s="32">
        <v>3383033</v>
      </c>
      <c r="Z31" s="32">
        <v>2880354</v>
      </c>
      <c r="AA31" s="32">
        <v>2120050</v>
      </c>
      <c r="AB31" s="32">
        <v>0</v>
      </c>
      <c r="AC31" s="32">
        <v>0</v>
      </c>
      <c r="AD31" s="32">
        <v>258808</v>
      </c>
      <c r="AE31" s="32">
        <v>2228</v>
      </c>
      <c r="AF31" s="32">
        <v>44</v>
      </c>
      <c r="AG31" s="32">
        <v>12</v>
      </c>
      <c r="AH31" s="37">
        <v>505</v>
      </c>
      <c r="AI31" s="39">
        <f t="shared" si="39"/>
        <v>0.35069444444444442</v>
      </c>
      <c r="AK31" s="9">
        <f t="shared" si="40"/>
        <v>1.4534653465346534</v>
      </c>
      <c r="AL31" s="9">
        <f t="shared" si="41"/>
        <v>0.61782178217821782</v>
      </c>
      <c r="AM31" s="6">
        <f t="shared" si="42"/>
        <v>1.0277227722772277</v>
      </c>
      <c r="AN31" s="8">
        <f t="shared" si="43"/>
        <v>0.85141173615510102</v>
      </c>
      <c r="AO31" s="8">
        <f t="shared" si="44"/>
        <v>0.14858826384489895</v>
      </c>
      <c r="AP31" s="40">
        <f t="shared" si="45"/>
        <v>4198.1188118811879</v>
      </c>
      <c r="AQ31" s="40">
        <f t="shared" si="46"/>
        <v>4.4118811881188122</v>
      </c>
      <c r="AR31" s="40" t="str">
        <f t="shared" si="47"/>
        <v xml:space="preserve"> </v>
      </c>
      <c r="AS31" s="40"/>
      <c r="AT31" s="40">
        <f t="shared" si="48"/>
        <v>512.49108910891084</v>
      </c>
    </row>
    <row r="32" spans="1:46" ht="15" customHeight="1" x14ac:dyDescent="0.25">
      <c r="A32" s="6">
        <f t="shared" si="28"/>
        <v>2.5621635657612556</v>
      </c>
      <c r="B32" s="7" t="s">
        <v>30</v>
      </c>
      <c r="C32" s="22" t="s">
        <v>39</v>
      </c>
      <c r="D32" s="13" t="str">
        <f t="shared" si="49"/>
        <v>Hitscan Repeater</v>
      </c>
      <c r="E32" s="4" t="s">
        <v>64</v>
      </c>
      <c r="F32" s="4" t="s">
        <v>63</v>
      </c>
      <c r="H32" s="32">
        <f t="shared" si="29"/>
        <v>11</v>
      </c>
      <c r="I32" s="8">
        <f t="shared" si="30"/>
        <v>0.72727272727272729</v>
      </c>
      <c r="J32" s="9">
        <f t="shared" si="31"/>
        <v>3.7109375</v>
      </c>
      <c r="K32" s="40">
        <f t="shared" si="32"/>
        <v>8923.6951219512193</v>
      </c>
      <c r="L32" s="40" t="str">
        <f t="shared" si="33"/>
        <v xml:space="preserve"> </v>
      </c>
      <c r="M32" s="40">
        <f t="shared" si="34"/>
        <v>595.30487804878044</v>
      </c>
      <c r="O32" s="10">
        <f t="shared" si="35"/>
        <v>-1</v>
      </c>
      <c r="P32" s="10">
        <f t="shared" si="36"/>
        <v>-1</v>
      </c>
      <c r="Q32" s="10">
        <f t="shared" si="37"/>
        <v>-45</v>
      </c>
      <c r="R32" s="9">
        <f t="shared" si="38"/>
        <v>0</v>
      </c>
      <c r="T32" s="5" t="s">
        <v>179</v>
      </c>
      <c r="U32" s="32">
        <v>48815</v>
      </c>
      <c r="V32" s="32">
        <v>179</v>
      </c>
      <c r="W32" s="32">
        <v>64</v>
      </c>
      <c r="X32" s="37">
        <v>117</v>
      </c>
      <c r="Y32" s="37">
        <v>731743</v>
      </c>
      <c r="Z32" s="37">
        <v>713266</v>
      </c>
      <c r="AA32" s="37">
        <v>324165</v>
      </c>
      <c r="AB32" s="37">
        <v>0</v>
      </c>
      <c r="AC32" s="37">
        <v>0</v>
      </c>
      <c r="AD32" s="37">
        <v>68252</v>
      </c>
      <c r="AE32" s="37">
        <v>251</v>
      </c>
      <c r="AF32" s="32">
        <v>8</v>
      </c>
      <c r="AG32" s="32">
        <v>3</v>
      </c>
      <c r="AH32" s="37">
        <v>82</v>
      </c>
      <c r="AI32" s="39">
        <f t="shared" si="39"/>
        <v>5.6944444444444443E-2</v>
      </c>
      <c r="AK32" s="9">
        <f t="shared" si="40"/>
        <v>2.1829268292682928</v>
      </c>
      <c r="AL32" s="9">
        <f t="shared" si="41"/>
        <v>0.78048780487804881</v>
      </c>
      <c r="AM32" s="6">
        <f t="shared" si="42"/>
        <v>1.4268292682926829</v>
      </c>
      <c r="AN32" s="8">
        <f t="shared" si="43"/>
        <v>0.97474933139093922</v>
      </c>
      <c r="AO32" s="8">
        <f t="shared" si="44"/>
        <v>2.525066860906083E-2</v>
      </c>
      <c r="AP32" s="40">
        <f t="shared" si="45"/>
        <v>3953.231707317073</v>
      </c>
      <c r="AQ32" s="40">
        <f t="shared" si="46"/>
        <v>3.0609756097560976</v>
      </c>
      <c r="AR32" s="40" t="str">
        <f t="shared" si="47"/>
        <v xml:space="preserve"> </v>
      </c>
      <c r="AS32" s="40"/>
      <c r="AT32" s="40">
        <f t="shared" si="48"/>
        <v>832.34146341463418</v>
      </c>
    </row>
    <row r="33" spans="1:46" ht="15" customHeight="1" x14ac:dyDescent="0.25">
      <c r="A33" s="6">
        <f t="shared" si="28"/>
        <v>0.58368087774485033</v>
      </c>
      <c r="B33" s="7" t="s">
        <v>13</v>
      </c>
      <c r="C33" s="22" t="s">
        <v>39</v>
      </c>
      <c r="D33" s="13" t="str">
        <f t="shared" si="49"/>
        <v>Projectile Repeater</v>
      </c>
      <c r="E33" s="4" t="s">
        <v>65</v>
      </c>
      <c r="F33" s="4" t="s">
        <v>63</v>
      </c>
      <c r="H33" s="32">
        <f t="shared" si="29"/>
        <v>10</v>
      </c>
      <c r="I33" s="8">
        <f t="shared" si="30"/>
        <v>0.6</v>
      </c>
      <c r="J33" s="9">
        <f t="shared" si="31"/>
        <v>2.9919354838709675</v>
      </c>
      <c r="K33" s="40">
        <f t="shared" si="32"/>
        <v>7123.9638554216872</v>
      </c>
      <c r="L33" s="40" t="str">
        <f t="shared" si="33"/>
        <v xml:space="preserve"> </v>
      </c>
      <c r="M33" s="40">
        <f t="shared" si="34"/>
        <v>416.18072289156629</v>
      </c>
      <c r="O33" s="10">
        <f t="shared" si="35"/>
        <v>4</v>
      </c>
      <c r="P33" s="10">
        <f t="shared" si="36"/>
        <v>4</v>
      </c>
      <c r="Q33" s="10">
        <f t="shared" si="37"/>
        <v>1</v>
      </c>
      <c r="R33" s="9">
        <f t="shared" si="38"/>
        <v>0.25</v>
      </c>
      <c r="T33" s="5" t="s">
        <v>177</v>
      </c>
      <c r="U33" s="32">
        <v>34543</v>
      </c>
      <c r="V33" s="32">
        <v>149</v>
      </c>
      <c r="W33" s="32">
        <v>62</v>
      </c>
      <c r="X33" s="37">
        <v>73</v>
      </c>
      <c r="Y33" s="37">
        <v>591289</v>
      </c>
      <c r="Z33" s="37">
        <v>556340</v>
      </c>
      <c r="AA33" s="37">
        <v>277517</v>
      </c>
      <c r="AB33" s="37">
        <v>0</v>
      </c>
      <c r="AC33" s="37">
        <v>0</v>
      </c>
      <c r="AD33" s="37">
        <v>70222</v>
      </c>
      <c r="AE33" s="37">
        <v>234</v>
      </c>
      <c r="AF33" s="32">
        <v>6</v>
      </c>
      <c r="AG33" s="32">
        <v>4</v>
      </c>
      <c r="AH33" s="37">
        <v>83</v>
      </c>
      <c r="AI33" s="39">
        <f t="shared" si="39"/>
        <v>5.7638888888888892E-2</v>
      </c>
      <c r="AK33" s="9">
        <f t="shared" si="40"/>
        <v>1.7951807228915662</v>
      </c>
      <c r="AL33" s="9">
        <f t="shared" si="41"/>
        <v>0.74698795180722888</v>
      </c>
      <c r="AM33" s="6">
        <f t="shared" si="42"/>
        <v>0.87951807228915657</v>
      </c>
      <c r="AN33" s="8">
        <f t="shared" si="43"/>
        <v>0.94089353936907338</v>
      </c>
      <c r="AO33" s="8">
        <f t="shared" si="44"/>
        <v>5.9106460630926672E-2</v>
      </c>
      <c r="AP33" s="40">
        <f t="shared" si="45"/>
        <v>3343.5783132530119</v>
      </c>
      <c r="AQ33" s="40">
        <f t="shared" si="46"/>
        <v>2.8192771084337349</v>
      </c>
      <c r="AR33" s="40" t="str">
        <f t="shared" si="47"/>
        <v xml:space="preserve"> </v>
      </c>
      <c r="AS33" s="40"/>
      <c r="AT33" s="40">
        <f t="shared" si="48"/>
        <v>846.04819277108436</v>
      </c>
    </row>
    <row r="34" spans="1:46" ht="15" customHeight="1" x14ac:dyDescent="0.25">
      <c r="A34" s="6">
        <f t="shared" si="28"/>
        <v>7.7652326964903476E-4</v>
      </c>
      <c r="B34" s="7" t="s">
        <v>29</v>
      </c>
      <c r="C34" s="22" t="s">
        <v>39</v>
      </c>
      <c r="D34" s="13" t="str">
        <f t="shared" si="49"/>
        <v>Hitscan Tracking</v>
      </c>
      <c r="E34" s="4" t="s">
        <v>64</v>
      </c>
      <c r="F34" s="4" t="s">
        <v>91</v>
      </c>
      <c r="H34" s="32">
        <f t="shared" si="29"/>
        <v>5</v>
      </c>
      <c r="I34" s="8">
        <f t="shared" si="30"/>
        <v>0.6</v>
      </c>
      <c r="J34" s="9">
        <f t="shared" si="31"/>
        <v>3.6129032258064515</v>
      </c>
      <c r="K34" s="40">
        <f t="shared" si="32"/>
        <v>7607.32</v>
      </c>
      <c r="L34" s="40">
        <f t="shared" si="33"/>
        <v>1497.48</v>
      </c>
      <c r="M34" s="40">
        <f t="shared" si="34"/>
        <v>482.34</v>
      </c>
      <c r="O34" s="10">
        <f t="shared" si="35"/>
        <v>5</v>
      </c>
      <c r="P34" s="10">
        <f t="shared" si="36"/>
        <v>2</v>
      </c>
      <c r="Q34" s="10">
        <f t="shared" si="37"/>
        <v>-19</v>
      </c>
      <c r="R34" s="9">
        <f t="shared" si="38"/>
        <v>0</v>
      </c>
      <c r="T34" s="5" t="s">
        <v>181</v>
      </c>
      <c r="U34" s="32">
        <v>24117</v>
      </c>
      <c r="V34" s="32">
        <v>78</v>
      </c>
      <c r="W34" s="32">
        <v>31</v>
      </c>
      <c r="X34" s="37">
        <v>68</v>
      </c>
      <c r="Y34" s="37">
        <v>380366</v>
      </c>
      <c r="Z34" s="37">
        <v>262638</v>
      </c>
      <c r="AA34" s="37">
        <v>248691</v>
      </c>
      <c r="AB34" s="37">
        <v>0</v>
      </c>
      <c r="AC34" s="37">
        <v>74874</v>
      </c>
      <c r="AD34" s="37">
        <v>136460</v>
      </c>
      <c r="AE34" s="37">
        <v>404</v>
      </c>
      <c r="AF34" s="32">
        <v>3</v>
      </c>
      <c r="AG34" s="32">
        <v>2</v>
      </c>
      <c r="AH34" s="37">
        <v>50</v>
      </c>
      <c r="AI34" s="39">
        <f t="shared" si="39"/>
        <v>3.4722222222222224E-2</v>
      </c>
      <c r="AK34" s="9">
        <f t="shared" si="40"/>
        <v>1.56</v>
      </c>
      <c r="AL34" s="9">
        <f t="shared" si="41"/>
        <v>0.62</v>
      </c>
      <c r="AM34" s="6">
        <f t="shared" si="42"/>
        <v>1.36</v>
      </c>
      <c r="AN34" s="8">
        <f t="shared" si="43"/>
        <v>0.69048758301215141</v>
      </c>
      <c r="AO34" s="8">
        <f t="shared" si="44"/>
        <v>0.30951241698784854</v>
      </c>
      <c r="AP34" s="40">
        <f t="shared" si="45"/>
        <v>4973.82</v>
      </c>
      <c r="AQ34" s="40">
        <f t="shared" si="46"/>
        <v>8.08</v>
      </c>
      <c r="AR34" s="40" t="str">
        <f t="shared" si="47"/>
        <v xml:space="preserve"> </v>
      </c>
      <c r="AS34" s="40"/>
      <c r="AT34" s="40">
        <f t="shared" si="48"/>
        <v>4226.68</v>
      </c>
    </row>
    <row r="35" spans="1:46" ht="15" customHeight="1" x14ac:dyDescent="0.25">
      <c r="A35" s="6">
        <f t="shared" si="28"/>
        <v>0.25012905033801736</v>
      </c>
      <c r="B35" s="7" t="s">
        <v>20</v>
      </c>
      <c r="C35" s="22" t="s">
        <v>39</v>
      </c>
      <c r="D35" s="13" t="str">
        <f t="shared" si="49"/>
        <v>Projectile Arc</v>
      </c>
      <c r="E35" s="4" t="s">
        <v>65</v>
      </c>
      <c r="F35" s="4" t="s">
        <v>66</v>
      </c>
      <c r="H35" s="32">
        <f t="shared" si="29"/>
        <v>9</v>
      </c>
      <c r="I35" s="8">
        <f t="shared" si="30"/>
        <v>0.55555555555555558</v>
      </c>
      <c r="J35" s="9">
        <f t="shared" si="31"/>
        <v>4.0975609756097562</v>
      </c>
      <c r="K35" s="40">
        <f t="shared" si="32"/>
        <v>7456.7560975609758</v>
      </c>
      <c r="L35" s="40" t="str">
        <f t="shared" si="33"/>
        <v xml:space="preserve"> </v>
      </c>
      <c r="M35" s="40">
        <f t="shared" si="34"/>
        <v>332.53658536585368</v>
      </c>
      <c r="O35" s="10">
        <f t="shared" si="35"/>
        <v>5</v>
      </c>
      <c r="P35" s="10">
        <f t="shared" si="36"/>
        <v>5</v>
      </c>
      <c r="Q35" s="10">
        <f t="shared" si="37"/>
        <v>-45</v>
      </c>
      <c r="R35" s="9">
        <f t="shared" si="38"/>
        <v>0</v>
      </c>
      <c r="T35" s="5" t="s">
        <v>179</v>
      </c>
      <c r="U35" s="32">
        <v>27268</v>
      </c>
      <c r="V35" s="32">
        <v>122</v>
      </c>
      <c r="W35" s="32">
        <v>41</v>
      </c>
      <c r="X35" s="37">
        <v>92</v>
      </c>
      <c r="Y35" s="37">
        <v>611454</v>
      </c>
      <c r="Z35" s="37">
        <v>607426</v>
      </c>
      <c r="AA35" s="37">
        <v>291147</v>
      </c>
      <c r="AB35" s="37">
        <v>0</v>
      </c>
      <c r="AC35" s="37">
        <v>0</v>
      </c>
      <c r="AD35" s="37">
        <v>41686</v>
      </c>
      <c r="AE35" s="37">
        <v>235</v>
      </c>
      <c r="AF35" s="32">
        <v>5</v>
      </c>
      <c r="AG35" s="32">
        <v>4</v>
      </c>
      <c r="AH35" s="37">
        <v>82</v>
      </c>
      <c r="AI35" s="39">
        <f t="shared" si="39"/>
        <v>5.6944444444444443E-2</v>
      </c>
      <c r="AK35" s="9">
        <f t="shared" si="40"/>
        <v>1.4878048780487805</v>
      </c>
      <c r="AL35" s="9">
        <f t="shared" si="41"/>
        <v>0.5</v>
      </c>
      <c r="AM35" s="6">
        <f t="shared" si="42"/>
        <v>1.1219512195121952</v>
      </c>
      <c r="AN35" s="8">
        <f t="shared" si="43"/>
        <v>0.9934124235020132</v>
      </c>
      <c r="AO35" s="8">
        <f t="shared" si="44"/>
        <v>6.5875764979867659E-3</v>
      </c>
      <c r="AP35" s="40">
        <f t="shared" si="45"/>
        <v>3550.5731707317073</v>
      </c>
      <c r="AQ35" s="40">
        <f t="shared" si="46"/>
        <v>2.8658536585365852</v>
      </c>
      <c r="AR35" s="40" t="str">
        <f t="shared" si="47"/>
        <v xml:space="preserve"> </v>
      </c>
      <c r="AS35" s="40"/>
      <c r="AT35" s="40">
        <f t="shared" si="48"/>
        <v>508.36585365853659</v>
      </c>
    </row>
    <row r="36" spans="1:46" ht="15" customHeight="1" x14ac:dyDescent="0.25">
      <c r="A36" s="6">
        <f t="shared" si="28"/>
        <v>7.3153866457911221E-3</v>
      </c>
      <c r="B36" s="7" t="s">
        <v>33</v>
      </c>
      <c r="C36" s="22" t="s">
        <v>39</v>
      </c>
      <c r="D36" s="13" t="str">
        <f t="shared" si="49"/>
        <v>Projectile Tracking Repeater</v>
      </c>
      <c r="E36" s="4" t="s">
        <v>65</v>
      </c>
      <c r="F36" s="12" t="s">
        <v>92</v>
      </c>
      <c r="H36" s="32">
        <f t="shared" si="29"/>
        <v>6</v>
      </c>
      <c r="I36" s="8">
        <f t="shared" si="30"/>
        <v>0.83333333333333337</v>
      </c>
      <c r="J36" s="9">
        <f t="shared" si="31"/>
        <v>2.4888888888888889</v>
      </c>
      <c r="K36" s="40">
        <f t="shared" si="32"/>
        <v>8060.318181818182</v>
      </c>
      <c r="L36" s="40">
        <f t="shared" si="33"/>
        <v>495.52272727272725</v>
      </c>
      <c r="M36" s="40">
        <f t="shared" si="34"/>
        <v>561.88636363636363</v>
      </c>
      <c r="O36" s="10">
        <f t="shared" si="35"/>
        <v>4</v>
      </c>
      <c r="P36" s="10">
        <f t="shared" si="36"/>
        <v>-2</v>
      </c>
      <c r="Q36" s="10">
        <f t="shared" si="37"/>
        <v>23</v>
      </c>
      <c r="R36" s="9">
        <f t="shared" si="38"/>
        <v>5.75</v>
      </c>
      <c r="T36" s="5" t="s">
        <v>211</v>
      </c>
      <c r="U36" s="32">
        <v>24723</v>
      </c>
      <c r="V36" s="32">
        <v>87</v>
      </c>
      <c r="W36" s="32">
        <v>45</v>
      </c>
      <c r="X36" s="37">
        <v>50</v>
      </c>
      <c r="Y36" s="37">
        <v>354654</v>
      </c>
      <c r="Z36" s="37">
        <v>354654</v>
      </c>
      <c r="AA36" s="37">
        <v>274093</v>
      </c>
      <c r="AB36" s="37">
        <v>0</v>
      </c>
      <c r="AC36" s="37">
        <v>21803</v>
      </c>
      <c r="AD36" s="37">
        <v>57719</v>
      </c>
      <c r="AE36" s="37">
        <v>227</v>
      </c>
      <c r="AF36" s="32">
        <v>5</v>
      </c>
      <c r="AG36" s="32">
        <v>1</v>
      </c>
      <c r="AH36" s="37">
        <v>44</v>
      </c>
      <c r="AI36" s="39">
        <f t="shared" si="39"/>
        <v>3.0555555555555555E-2</v>
      </c>
      <c r="AK36" s="9">
        <f t="shared" si="40"/>
        <v>1.9772727272727273</v>
      </c>
      <c r="AL36" s="9">
        <f t="shared" si="41"/>
        <v>1.0227272727272727</v>
      </c>
      <c r="AM36" s="6">
        <f t="shared" si="42"/>
        <v>1.1363636363636365</v>
      </c>
      <c r="AN36" s="8">
        <f t="shared" si="43"/>
        <v>1</v>
      </c>
      <c r="AO36" s="8">
        <f t="shared" si="44"/>
        <v>0</v>
      </c>
      <c r="AP36" s="40">
        <f t="shared" si="45"/>
        <v>6229.386363636364</v>
      </c>
      <c r="AQ36" s="40">
        <f t="shared" si="46"/>
        <v>5.1590909090909092</v>
      </c>
      <c r="AR36" s="40" t="str">
        <f t="shared" si="47"/>
        <v xml:space="preserve"> </v>
      </c>
      <c r="AS36" s="40"/>
      <c r="AT36" s="40">
        <f t="shared" si="48"/>
        <v>1807.3181818181818</v>
      </c>
    </row>
    <row r="37" spans="1:46" ht="15" customHeight="1" x14ac:dyDescent="0.25">
      <c r="A37" s="6">
        <f t="shared" si="28"/>
        <v>2.9448673728009536</v>
      </c>
      <c r="B37" s="7" t="s">
        <v>9</v>
      </c>
      <c r="C37" s="22" t="s">
        <v>39</v>
      </c>
      <c r="D37" s="13" t="str">
        <f t="shared" si="49"/>
        <v>Hitscan Repeater</v>
      </c>
      <c r="E37" s="4" t="s">
        <v>64</v>
      </c>
      <c r="F37" s="4" t="s">
        <v>63</v>
      </c>
      <c r="H37" s="32">
        <f t="shared" si="29"/>
        <v>15</v>
      </c>
      <c r="I37" s="8">
        <f t="shared" si="30"/>
        <v>0.53333333333333333</v>
      </c>
      <c r="J37" s="9">
        <f t="shared" si="31"/>
        <v>1.675</v>
      </c>
      <c r="K37" s="40">
        <f t="shared" si="32"/>
        <v>4718.297101449275</v>
      </c>
      <c r="L37" s="40" t="str">
        <f t="shared" si="33"/>
        <v xml:space="preserve"> </v>
      </c>
      <c r="M37" s="40">
        <f t="shared" si="34"/>
        <v>325.536231884058</v>
      </c>
      <c r="O37" s="10">
        <f t="shared" si="35"/>
        <v>9</v>
      </c>
      <c r="P37" s="10">
        <f t="shared" si="36"/>
        <v>9</v>
      </c>
      <c r="Q37" s="10">
        <f t="shared" si="37"/>
        <v>159</v>
      </c>
      <c r="R37" s="9">
        <f t="shared" si="38"/>
        <v>17.666666666666668</v>
      </c>
      <c r="T37" s="5" t="s">
        <v>157</v>
      </c>
      <c r="U37" s="32">
        <v>44924</v>
      </c>
      <c r="V37" s="32">
        <v>142</v>
      </c>
      <c r="W37" s="32">
        <v>120</v>
      </c>
      <c r="X37" s="37">
        <v>118</v>
      </c>
      <c r="Y37" s="37">
        <v>651125</v>
      </c>
      <c r="Z37" s="37">
        <v>604186</v>
      </c>
      <c r="AA37" s="37">
        <v>718332</v>
      </c>
      <c r="AB37" s="37">
        <v>0</v>
      </c>
      <c r="AC37" s="37">
        <v>0</v>
      </c>
      <c r="AD37" s="37">
        <v>226478</v>
      </c>
      <c r="AE37" s="37">
        <v>435</v>
      </c>
      <c r="AF37" s="32">
        <v>8</v>
      </c>
      <c r="AG37" s="32">
        <v>7</v>
      </c>
      <c r="AH37" s="37">
        <v>138</v>
      </c>
      <c r="AI37" s="39">
        <f t="shared" si="39"/>
        <v>9.583333333333334E-2</v>
      </c>
      <c r="AK37" s="9">
        <f t="shared" si="40"/>
        <v>1.0289855072463767</v>
      </c>
      <c r="AL37" s="9">
        <f t="shared" si="41"/>
        <v>0.86956521739130432</v>
      </c>
      <c r="AM37" s="6">
        <f t="shared" si="42"/>
        <v>0.85507246376811596</v>
      </c>
      <c r="AN37" s="8">
        <f t="shared" si="43"/>
        <v>0.92791092340180459</v>
      </c>
      <c r="AO37" s="8">
        <f t="shared" si="44"/>
        <v>7.2089076598195426E-2</v>
      </c>
      <c r="AP37" s="40">
        <f t="shared" si="45"/>
        <v>5205.304347826087</v>
      </c>
      <c r="AQ37" s="40">
        <f t="shared" si="46"/>
        <v>3.152173913043478</v>
      </c>
      <c r="AR37" s="40" t="str">
        <f t="shared" si="47"/>
        <v xml:space="preserve"> </v>
      </c>
      <c r="AS37" s="40"/>
      <c r="AT37" s="40">
        <f t="shared" si="48"/>
        <v>1641.144927536232</v>
      </c>
    </row>
    <row r="38" spans="1:46" ht="15" customHeight="1" x14ac:dyDescent="0.25">
      <c r="A38" s="6">
        <f t="shared" si="28"/>
        <v>0</v>
      </c>
      <c r="B38" s="7" t="s">
        <v>34</v>
      </c>
      <c r="C38" s="22" t="s">
        <v>39</v>
      </c>
      <c r="D38" s="13" t="str">
        <f t="shared" si="49"/>
        <v>Hitscan Projectile Tracking Repeater</v>
      </c>
      <c r="E38" s="12" t="s">
        <v>90</v>
      </c>
      <c r="F38" s="12" t="s">
        <v>92</v>
      </c>
      <c r="H38" s="32">
        <f t="shared" si="29"/>
        <v>1</v>
      </c>
      <c r="I38" s="8">
        <f t="shared" si="30"/>
        <v>1</v>
      </c>
      <c r="J38" s="9">
        <f t="shared" si="31"/>
        <v>4.7</v>
      </c>
      <c r="K38" s="40">
        <f t="shared" si="32"/>
        <v>14131.571428571429</v>
      </c>
      <c r="L38" s="40" t="str">
        <f t="shared" si="33"/>
        <v xml:space="preserve"> </v>
      </c>
      <c r="M38" s="40">
        <f t="shared" si="34"/>
        <v>567</v>
      </c>
      <c r="O38" s="10">
        <f t="shared" si="35"/>
        <v>9</v>
      </c>
      <c r="P38" s="10">
        <f t="shared" si="36"/>
        <v>-1</v>
      </c>
      <c r="Q38" s="10">
        <f t="shared" si="37"/>
        <v>-8</v>
      </c>
      <c r="R38" s="9">
        <f t="shared" si="38"/>
        <v>0</v>
      </c>
      <c r="T38" s="5" t="s">
        <v>178</v>
      </c>
      <c r="U38" s="32">
        <v>3969</v>
      </c>
      <c r="V38" s="32">
        <v>16</v>
      </c>
      <c r="W38" s="32">
        <v>5</v>
      </c>
      <c r="X38" s="37">
        <v>15</v>
      </c>
      <c r="Y38" s="37">
        <v>98921</v>
      </c>
      <c r="Z38" s="37">
        <v>81464</v>
      </c>
      <c r="AA38" s="37">
        <v>31839</v>
      </c>
      <c r="AB38" s="37">
        <v>0</v>
      </c>
      <c r="AC38" s="37">
        <v>0</v>
      </c>
      <c r="AD38" s="37">
        <v>811</v>
      </c>
      <c r="AE38" s="37">
        <v>0</v>
      </c>
      <c r="AF38" s="32">
        <v>1</v>
      </c>
      <c r="AG38" s="32">
        <v>0</v>
      </c>
      <c r="AH38" s="37">
        <v>7</v>
      </c>
      <c r="AI38" s="39">
        <f t="shared" si="39"/>
        <v>4.8611111111111112E-3</v>
      </c>
      <c r="AK38" s="9">
        <f t="shared" si="40"/>
        <v>2.2857142857142856</v>
      </c>
      <c r="AL38" s="9">
        <f t="shared" si="41"/>
        <v>0.7142857142857143</v>
      </c>
      <c r="AM38" s="6">
        <f t="shared" si="42"/>
        <v>2.1428571428571428</v>
      </c>
      <c r="AN38" s="8">
        <f t="shared" si="43"/>
        <v>0.82352584385519756</v>
      </c>
      <c r="AO38" s="8">
        <f t="shared" si="44"/>
        <v>0.17647415614480241</v>
      </c>
      <c r="AP38" s="40">
        <f t="shared" si="45"/>
        <v>4548.4285714285716</v>
      </c>
      <c r="AQ38" s="40" t="str">
        <f t="shared" si="46"/>
        <v xml:space="preserve"> </v>
      </c>
      <c r="AR38" s="40" t="str">
        <f t="shared" si="47"/>
        <v xml:space="preserve"> </v>
      </c>
      <c r="AS38" s="40"/>
      <c r="AT38" s="40">
        <f t="shared" si="48"/>
        <v>115.85714285714286</v>
      </c>
    </row>
    <row r="39" spans="1:46" ht="15" customHeight="1" x14ac:dyDescent="0.25">
      <c r="A39" s="6" t="str">
        <f t="shared" si="28"/>
        <v xml:space="preserve"> </v>
      </c>
      <c r="B39" s="4" t="s">
        <v>50</v>
      </c>
      <c r="C39" s="22" t="s">
        <v>39</v>
      </c>
      <c r="D39" s="13" t="str">
        <f t="shared" si="49"/>
        <v>Hitscan Repeater</v>
      </c>
      <c r="E39" s="4" t="s">
        <v>64</v>
      </c>
      <c r="F39" s="4" t="s">
        <v>63</v>
      </c>
      <c r="H39" s="32" t="str">
        <f t="shared" si="29"/>
        <v xml:space="preserve"> </v>
      </c>
      <c r="I39" s="8" t="str">
        <f t="shared" si="30"/>
        <v/>
      </c>
      <c r="J39" s="9" t="str">
        <f t="shared" si="31"/>
        <v xml:space="preserve"> </v>
      </c>
      <c r="K39" s="40" t="str">
        <f t="shared" si="32"/>
        <v xml:space="preserve"> </v>
      </c>
      <c r="L39" s="40" t="str">
        <f t="shared" si="33"/>
        <v xml:space="preserve"> </v>
      </c>
      <c r="M39" s="40" t="str">
        <f t="shared" si="34"/>
        <v xml:space="preserve"> </v>
      </c>
      <c r="O39" s="10" t="str">
        <f t="shared" si="35"/>
        <v xml:space="preserve"> </v>
      </c>
      <c r="P39" s="10" t="str">
        <f t="shared" si="36"/>
        <v xml:space="preserve"> </v>
      </c>
      <c r="Q39" s="10" t="str">
        <f t="shared" si="37"/>
        <v xml:space="preserve"> </v>
      </c>
      <c r="R39" s="9" t="e">
        <f t="shared" si="38"/>
        <v>#VALUE!</v>
      </c>
      <c r="AH39" s="37"/>
      <c r="AI39" s="39" t="str">
        <f t="shared" si="39"/>
        <v xml:space="preserve"> </v>
      </c>
      <c r="AK39" s="9" t="str">
        <f t="shared" si="40"/>
        <v xml:space="preserve"> </v>
      </c>
      <c r="AL39" s="9" t="str">
        <f t="shared" si="41"/>
        <v xml:space="preserve"> </v>
      </c>
      <c r="AM39" s="6" t="str">
        <f t="shared" si="42"/>
        <v xml:space="preserve"> </v>
      </c>
      <c r="AN39" s="8" t="str">
        <f t="shared" si="43"/>
        <v xml:space="preserve"> </v>
      </c>
      <c r="AO39" s="8" t="str">
        <f t="shared" si="44"/>
        <v xml:space="preserve"> </v>
      </c>
      <c r="AP39" s="40" t="str">
        <f t="shared" si="45"/>
        <v xml:space="preserve"> </v>
      </c>
      <c r="AQ39" s="40" t="str">
        <f t="shared" si="46"/>
        <v xml:space="preserve"> </v>
      </c>
      <c r="AR39" s="40" t="str">
        <f t="shared" si="47"/>
        <v xml:space="preserve"> </v>
      </c>
      <c r="AS39" s="40"/>
      <c r="AT39" s="40" t="str">
        <f t="shared" si="48"/>
        <v xml:space="preserve"> </v>
      </c>
    </row>
    <row r="40" spans="1:46" ht="15" customHeight="1" x14ac:dyDescent="0.25">
      <c r="A40" s="6" t="str">
        <f t="shared" si="28"/>
        <v xml:space="preserve"> </v>
      </c>
      <c r="B40" s="7" t="s">
        <v>35</v>
      </c>
      <c r="C40" s="22" t="s">
        <v>39</v>
      </c>
      <c r="D40" s="13" t="str">
        <f t="shared" si="49"/>
        <v>Hitscan Tracking</v>
      </c>
      <c r="E40" s="4" t="s">
        <v>64</v>
      </c>
      <c r="F40" s="4" t="s">
        <v>91</v>
      </c>
      <c r="H40" s="32" t="str">
        <f t="shared" si="29"/>
        <v xml:space="preserve"> </v>
      </c>
      <c r="I40" s="8" t="str">
        <f t="shared" si="30"/>
        <v/>
      </c>
      <c r="J40" s="9" t="str">
        <f t="shared" si="31"/>
        <v xml:space="preserve"> </v>
      </c>
      <c r="K40" s="40" t="str">
        <f t="shared" si="32"/>
        <v xml:space="preserve"> </v>
      </c>
      <c r="L40" s="40" t="str">
        <f t="shared" si="33"/>
        <v xml:space="preserve"> </v>
      </c>
      <c r="M40" s="40" t="str">
        <f t="shared" si="34"/>
        <v xml:space="preserve"> </v>
      </c>
      <c r="O40" s="10" t="str">
        <f t="shared" si="35"/>
        <v xml:space="preserve"> </v>
      </c>
      <c r="P40" s="10" t="str">
        <f t="shared" si="36"/>
        <v xml:space="preserve"> </v>
      </c>
      <c r="Q40" s="10" t="str">
        <f t="shared" si="37"/>
        <v xml:space="preserve"> </v>
      </c>
      <c r="R40" s="9" t="e">
        <f t="shared" si="38"/>
        <v>#VALUE!</v>
      </c>
      <c r="X40" s="37"/>
      <c r="Y40" s="37"/>
      <c r="Z40" s="37"/>
      <c r="AA40" s="37"/>
      <c r="AB40" s="37"/>
      <c r="AC40" s="37"/>
      <c r="AD40" s="37"/>
      <c r="AE40" s="37"/>
      <c r="AH40" s="37"/>
      <c r="AI40" s="39" t="str">
        <f t="shared" si="39"/>
        <v xml:space="preserve"> </v>
      </c>
      <c r="AK40" s="9" t="str">
        <f t="shared" si="40"/>
        <v xml:space="preserve"> </v>
      </c>
      <c r="AL40" s="9" t="str">
        <f t="shared" si="41"/>
        <v xml:space="preserve"> </v>
      </c>
      <c r="AM40" s="6" t="str">
        <f t="shared" si="42"/>
        <v xml:space="preserve"> </v>
      </c>
      <c r="AN40" s="8" t="str">
        <f t="shared" si="43"/>
        <v xml:space="preserve"> </v>
      </c>
      <c r="AO40" s="8" t="str">
        <f t="shared" si="44"/>
        <v xml:space="preserve"> </v>
      </c>
      <c r="AP40" s="40" t="str">
        <f t="shared" si="45"/>
        <v xml:space="preserve"> </v>
      </c>
      <c r="AQ40" s="40" t="str">
        <f t="shared" si="46"/>
        <v xml:space="preserve"> </v>
      </c>
      <c r="AR40" s="40" t="str">
        <f t="shared" si="47"/>
        <v xml:space="preserve"> </v>
      </c>
      <c r="AS40" s="40"/>
      <c r="AT40" s="40" t="str">
        <f t="shared" si="48"/>
        <v xml:space="preserve"> </v>
      </c>
    </row>
    <row r="41" spans="1:46" ht="15" customHeight="1" x14ac:dyDescent="0.25">
      <c r="A41" s="6" t="str">
        <f t="shared" si="28"/>
        <v xml:space="preserve"> </v>
      </c>
      <c r="B41" s="7" t="s">
        <v>120</v>
      </c>
      <c r="C41" s="22" t="s">
        <v>39</v>
      </c>
      <c r="D41" s="13" t="str">
        <f t="shared" si="49"/>
        <v>Projectile Tracking</v>
      </c>
      <c r="E41" s="4" t="s">
        <v>65</v>
      </c>
      <c r="F41" s="4" t="s">
        <v>91</v>
      </c>
      <c r="H41" s="32" t="str">
        <f t="shared" si="29"/>
        <v xml:space="preserve"> </v>
      </c>
      <c r="I41" s="8" t="str">
        <f t="shared" si="30"/>
        <v/>
      </c>
      <c r="J41" s="9" t="str">
        <f t="shared" si="31"/>
        <v xml:space="preserve"> </v>
      </c>
      <c r="K41" s="40" t="str">
        <f t="shared" si="32"/>
        <v xml:space="preserve"> </v>
      </c>
      <c r="L41" s="40" t="str">
        <f t="shared" si="33"/>
        <v xml:space="preserve"> </v>
      </c>
      <c r="M41" s="40" t="str">
        <f t="shared" si="34"/>
        <v xml:space="preserve"> </v>
      </c>
      <c r="O41" s="10" t="str">
        <f t="shared" si="35"/>
        <v xml:space="preserve"> </v>
      </c>
      <c r="P41" s="10" t="str">
        <f t="shared" si="36"/>
        <v xml:space="preserve"> </v>
      </c>
      <c r="Q41" s="10" t="str">
        <f t="shared" si="37"/>
        <v xml:space="preserve"> </v>
      </c>
      <c r="R41" s="9" t="e">
        <f t="shared" si="38"/>
        <v>#VALUE!</v>
      </c>
      <c r="X41" s="37"/>
      <c r="Y41" s="37"/>
      <c r="Z41" s="37"/>
      <c r="AA41" s="37"/>
      <c r="AB41" s="37"/>
      <c r="AC41" s="37"/>
      <c r="AD41" s="37"/>
      <c r="AE41" s="37"/>
      <c r="AH41" s="37"/>
      <c r="AI41" s="39" t="str">
        <f t="shared" si="39"/>
        <v xml:space="preserve"> </v>
      </c>
      <c r="AK41" s="9" t="str">
        <f t="shared" si="40"/>
        <v xml:space="preserve"> </v>
      </c>
      <c r="AL41" s="9" t="str">
        <f t="shared" si="41"/>
        <v xml:space="preserve"> </v>
      </c>
      <c r="AM41" s="6" t="str">
        <f t="shared" si="42"/>
        <v xml:space="preserve"> </v>
      </c>
      <c r="AN41" s="8" t="str">
        <f t="shared" si="43"/>
        <v xml:space="preserve"> </v>
      </c>
      <c r="AO41" s="8" t="str">
        <f t="shared" si="44"/>
        <v xml:space="preserve"> </v>
      </c>
      <c r="AP41" s="40" t="str">
        <f t="shared" si="45"/>
        <v xml:space="preserve"> </v>
      </c>
      <c r="AQ41" s="40" t="str">
        <f t="shared" si="46"/>
        <v xml:space="preserve"> </v>
      </c>
      <c r="AR41" s="40" t="str">
        <f t="shared" si="47"/>
        <v xml:space="preserve"> </v>
      </c>
      <c r="AS41" s="40"/>
      <c r="AT41" s="40" t="str">
        <f t="shared" si="48"/>
        <v xml:space="preserve"> </v>
      </c>
    </row>
    <row r="42" spans="1:46" ht="15" customHeight="1" x14ac:dyDescent="0.25">
      <c r="A42" s="6">
        <f t="shared" si="28"/>
        <v>8.1152301274681352E-7</v>
      </c>
      <c r="B42" s="7" t="s">
        <v>105</v>
      </c>
      <c r="C42" s="22" t="s">
        <v>39</v>
      </c>
      <c r="D42" s="13" t="str">
        <f t="shared" si="49"/>
        <v>Projectile Repeater</v>
      </c>
      <c r="E42" s="4" t="s">
        <v>65</v>
      </c>
      <c r="F42" s="4" t="s">
        <v>63</v>
      </c>
      <c r="H42" s="32">
        <f t="shared" si="29"/>
        <v>3</v>
      </c>
      <c r="I42" s="8">
        <f t="shared" si="30"/>
        <v>1</v>
      </c>
      <c r="J42" s="9">
        <f t="shared" si="31"/>
        <v>4.1333333333333337</v>
      </c>
      <c r="K42" s="40">
        <f t="shared" si="32"/>
        <v>8379.045454545454</v>
      </c>
      <c r="L42" s="40" t="str">
        <f t="shared" si="33"/>
        <v xml:space="preserve"> </v>
      </c>
      <c r="M42" s="40">
        <f t="shared" si="34"/>
        <v>544.72727272727275</v>
      </c>
      <c r="O42" s="10">
        <f t="shared" si="35"/>
        <v>7</v>
      </c>
      <c r="P42" s="10">
        <f t="shared" si="36"/>
        <v>-3</v>
      </c>
      <c r="Q42" s="10">
        <f t="shared" si="37"/>
        <v>-17</v>
      </c>
      <c r="R42" s="9">
        <f t="shared" si="38"/>
        <v>0</v>
      </c>
      <c r="T42" s="5" t="s">
        <v>180</v>
      </c>
      <c r="U42" s="32">
        <v>11984</v>
      </c>
      <c r="V42" s="32">
        <v>44</v>
      </c>
      <c r="W42" s="32">
        <v>15</v>
      </c>
      <c r="X42" s="37">
        <v>36</v>
      </c>
      <c r="Y42" s="37">
        <v>184339</v>
      </c>
      <c r="Z42" s="37">
        <v>155289</v>
      </c>
      <c r="AA42" s="37">
        <v>86129</v>
      </c>
      <c r="AB42" s="37">
        <v>0</v>
      </c>
      <c r="AC42" s="37">
        <v>0</v>
      </c>
      <c r="AD42" s="37">
        <v>35884</v>
      </c>
      <c r="AE42" s="37">
        <v>107</v>
      </c>
      <c r="AF42" s="32">
        <v>3</v>
      </c>
      <c r="AG42" s="32">
        <v>0</v>
      </c>
      <c r="AH42" s="37">
        <v>22</v>
      </c>
      <c r="AI42" s="39">
        <f t="shared" si="39"/>
        <v>1.5277777777777777E-2</v>
      </c>
      <c r="AK42" s="9">
        <f t="shared" si="40"/>
        <v>2</v>
      </c>
      <c r="AL42" s="9">
        <f t="shared" si="41"/>
        <v>0.68181818181818177</v>
      </c>
      <c r="AM42" s="6">
        <f t="shared" si="42"/>
        <v>1.6363636363636365</v>
      </c>
      <c r="AN42" s="8">
        <f t="shared" si="43"/>
        <v>0.84240990783285141</v>
      </c>
      <c r="AO42" s="8">
        <f t="shared" si="44"/>
        <v>0.15759009216714856</v>
      </c>
      <c r="AP42" s="40">
        <f t="shared" si="45"/>
        <v>3914.9545454545455</v>
      </c>
      <c r="AQ42" s="40">
        <f t="shared" si="46"/>
        <v>4.8636363636363633</v>
      </c>
      <c r="AR42" s="40" t="str">
        <f t="shared" si="47"/>
        <v xml:space="preserve"> </v>
      </c>
      <c r="AS42" s="40"/>
      <c r="AT42" s="40">
        <f t="shared" si="48"/>
        <v>1631.090909090909</v>
      </c>
    </row>
    <row r="43" spans="1:46" ht="15" customHeight="1" x14ac:dyDescent="0.25">
      <c r="A43" s="6">
        <f t="shared" si="28"/>
        <v>8.4359946217540269</v>
      </c>
      <c r="B43" s="7" t="s">
        <v>0</v>
      </c>
      <c r="C43" s="22" t="s">
        <v>37</v>
      </c>
      <c r="D43" s="13" t="str">
        <f t="shared" si="49"/>
        <v>Projectile Tracking</v>
      </c>
      <c r="E43" s="4" t="s">
        <v>65</v>
      </c>
      <c r="F43" s="4" t="s">
        <v>91</v>
      </c>
      <c r="H43" s="32">
        <f t="shared" si="29"/>
        <v>16</v>
      </c>
      <c r="I43" s="8">
        <f t="shared" si="30"/>
        <v>0.6875</v>
      </c>
      <c r="J43" s="9">
        <f t="shared" si="31"/>
        <v>2.8658536585365852</v>
      </c>
      <c r="K43" s="40">
        <f t="shared" si="32"/>
        <v>4614.3273809523807</v>
      </c>
      <c r="L43" s="40" t="str">
        <f t="shared" si="33"/>
        <v xml:space="preserve"> </v>
      </c>
      <c r="M43" s="40">
        <f t="shared" si="34"/>
        <v>316.88095238095241</v>
      </c>
      <c r="O43" s="10">
        <f t="shared" si="35"/>
        <v>1</v>
      </c>
      <c r="P43" s="10">
        <f t="shared" si="36"/>
        <v>1</v>
      </c>
      <c r="Q43" s="10">
        <f t="shared" si="37"/>
        <v>11</v>
      </c>
      <c r="R43" s="9">
        <f t="shared" si="38"/>
        <v>11</v>
      </c>
      <c r="T43" s="5" t="s">
        <v>109</v>
      </c>
      <c r="U43" s="32">
        <v>53236</v>
      </c>
      <c r="V43" s="32">
        <v>123</v>
      </c>
      <c r="W43" s="32">
        <v>82</v>
      </c>
      <c r="X43" s="37">
        <v>224</v>
      </c>
      <c r="Y43" s="37">
        <v>775207</v>
      </c>
      <c r="Z43" s="37">
        <v>476504</v>
      </c>
      <c r="AA43" s="37">
        <v>1168040</v>
      </c>
      <c r="AB43" s="37">
        <v>604556</v>
      </c>
      <c r="AC43" s="37">
        <v>0</v>
      </c>
      <c r="AD43" s="37">
        <v>118085</v>
      </c>
      <c r="AE43" s="37">
        <v>2025</v>
      </c>
      <c r="AF43" s="32">
        <v>11</v>
      </c>
      <c r="AG43" s="32">
        <v>5</v>
      </c>
      <c r="AH43" s="37">
        <v>168</v>
      </c>
      <c r="AI43" s="39">
        <f t="shared" si="39"/>
        <v>0.11666666666666667</v>
      </c>
      <c r="AK43" s="9">
        <f t="shared" si="40"/>
        <v>0.7321428571428571</v>
      </c>
      <c r="AL43" s="9">
        <f t="shared" si="41"/>
        <v>0.48809523809523808</v>
      </c>
      <c r="AM43" s="6">
        <f t="shared" si="42"/>
        <v>1.3333333333333333</v>
      </c>
      <c r="AN43" s="8">
        <f t="shared" si="43"/>
        <v>0.61467969200484518</v>
      </c>
      <c r="AO43" s="8">
        <f t="shared" si="44"/>
        <v>0.38532030799515482</v>
      </c>
      <c r="AP43" s="40">
        <f t="shared" si="45"/>
        <v>6952.6190476190477</v>
      </c>
      <c r="AQ43" s="40">
        <f t="shared" si="46"/>
        <v>12.053571428571429</v>
      </c>
      <c r="AR43" s="40">
        <f t="shared" si="47"/>
        <v>3598.5476190476193</v>
      </c>
      <c r="AS43" s="40"/>
      <c r="AT43" s="40">
        <f t="shared" si="48"/>
        <v>702.88690476190482</v>
      </c>
    </row>
    <row r="44" spans="1:46" ht="15" customHeight="1" x14ac:dyDescent="0.25">
      <c r="A44" s="6">
        <f t="shared" si="28"/>
        <v>0.24390779204405566</v>
      </c>
      <c r="B44" s="7" t="s">
        <v>5</v>
      </c>
      <c r="C44" s="22" t="s">
        <v>37</v>
      </c>
      <c r="D44" s="13" t="str">
        <f t="shared" si="49"/>
        <v>Hitscan Projectile Repeater</v>
      </c>
      <c r="E44" s="12" t="s">
        <v>90</v>
      </c>
      <c r="F44" s="4" t="s">
        <v>63</v>
      </c>
      <c r="H44" s="32">
        <f t="shared" si="29"/>
        <v>9</v>
      </c>
      <c r="I44" s="8">
        <f t="shared" si="30"/>
        <v>0.66666666666666663</v>
      </c>
      <c r="J44" s="9">
        <f t="shared" si="31"/>
        <v>3.7428571428571429</v>
      </c>
      <c r="K44" s="40">
        <f t="shared" si="32"/>
        <v>5997.5638297872338</v>
      </c>
      <c r="L44" s="40" t="str">
        <f t="shared" si="33"/>
        <v xml:space="preserve"> </v>
      </c>
      <c r="M44" s="40">
        <f t="shared" si="34"/>
        <v>295.82978723404256</v>
      </c>
      <c r="O44" s="10">
        <f t="shared" si="35"/>
        <v>1</v>
      </c>
      <c r="P44" s="10">
        <f t="shared" si="36"/>
        <v>1</v>
      </c>
      <c r="Q44" s="10">
        <f t="shared" si="37"/>
        <v>-26</v>
      </c>
      <c r="R44" s="9">
        <f t="shared" si="38"/>
        <v>0</v>
      </c>
      <c r="T44" s="5" t="s">
        <v>200</v>
      </c>
      <c r="U44" s="32">
        <v>27808</v>
      </c>
      <c r="V44" s="32">
        <v>65</v>
      </c>
      <c r="W44" s="32">
        <v>35</v>
      </c>
      <c r="X44" s="37">
        <v>132</v>
      </c>
      <c r="Y44" s="37">
        <v>563771</v>
      </c>
      <c r="Z44" s="37">
        <v>563771</v>
      </c>
      <c r="AA44" s="37">
        <v>535075</v>
      </c>
      <c r="AB44" s="37">
        <v>474254</v>
      </c>
      <c r="AC44" s="37">
        <v>0</v>
      </c>
      <c r="AD44" s="37">
        <v>67689</v>
      </c>
      <c r="AE44" s="37">
        <v>1494</v>
      </c>
      <c r="AF44" s="32">
        <v>6</v>
      </c>
      <c r="AG44" s="32">
        <v>3</v>
      </c>
      <c r="AH44" s="37">
        <v>94</v>
      </c>
      <c r="AI44" s="39">
        <f t="shared" si="39"/>
        <v>6.5277777777777782E-2</v>
      </c>
      <c r="AK44" s="9">
        <f t="shared" si="40"/>
        <v>0.69148936170212771</v>
      </c>
      <c r="AL44" s="9">
        <f t="shared" si="41"/>
        <v>0.37234042553191488</v>
      </c>
      <c r="AM44" s="6">
        <f t="shared" si="42"/>
        <v>1.4042553191489362</v>
      </c>
      <c r="AN44" s="8">
        <f t="shared" si="43"/>
        <v>1</v>
      </c>
      <c r="AO44" s="8">
        <f t="shared" si="44"/>
        <v>0</v>
      </c>
      <c r="AP44" s="40">
        <f t="shared" si="45"/>
        <v>5692.2872340425529</v>
      </c>
      <c r="AQ44" s="40">
        <f t="shared" si="46"/>
        <v>15.893617021276595</v>
      </c>
      <c r="AR44" s="40">
        <f t="shared" si="47"/>
        <v>5045.255319148936</v>
      </c>
      <c r="AS44" s="40"/>
      <c r="AT44" s="40">
        <f t="shared" si="48"/>
        <v>720.09574468085111</v>
      </c>
    </row>
    <row r="45" spans="1:46" ht="15" customHeight="1" x14ac:dyDescent="0.25">
      <c r="A45" s="6">
        <f t="shared" si="28"/>
        <v>1.1058925097867598E-5</v>
      </c>
      <c r="B45" s="7" t="s">
        <v>8</v>
      </c>
      <c r="C45" s="22" t="s">
        <v>37</v>
      </c>
      <c r="D45" s="13" t="str">
        <f t="shared" si="49"/>
        <v>Projectile Tracking</v>
      </c>
      <c r="E45" s="4" t="s">
        <v>65</v>
      </c>
      <c r="F45" s="4" t="s">
        <v>91</v>
      </c>
      <c r="H45" s="32">
        <f t="shared" si="29"/>
        <v>4</v>
      </c>
      <c r="I45" s="8">
        <f t="shared" si="30"/>
        <v>0.5</v>
      </c>
      <c r="J45" s="9">
        <f t="shared" si="31"/>
        <v>2.5</v>
      </c>
      <c r="K45" s="40">
        <f t="shared" si="32"/>
        <v>4328.7450980392159</v>
      </c>
      <c r="L45" s="40">
        <f t="shared" si="33"/>
        <v>541.0980392156863</v>
      </c>
      <c r="M45" s="40">
        <f t="shared" si="34"/>
        <v>234.58823529411765</v>
      </c>
      <c r="O45" s="10">
        <f t="shared" si="35"/>
        <v>6</v>
      </c>
      <c r="P45" s="10">
        <f t="shared" si="36"/>
        <v>3</v>
      </c>
      <c r="Q45" s="10">
        <f t="shared" si="37"/>
        <v>10</v>
      </c>
      <c r="R45" s="9">
        <f t="shared" si="38"/>
        <v>1.6666666666666667</v>
      </c>
      <c r="T45" s="5" t="s">
        <v>185</v>
      </c>
      <c r="U45" s="32">
        <v>11964</v>
      </c>
      <c r="V45" s="32">
        <v>27</v>
      </c>
      <c r="W45" s="32">
        <v>20</v>
      </c>
      <c r="X45" s="37">
        <v>46</v>
      </c>
      <c r="Y45" s="37">
        <v>220766</v>
      </c>
      <c r="Z45" s="37">
        <v>195214</v>
      </c>
      <c r="AA45" s="37">
        <v>114781</v>
      </c>
      <c r="AB45" s="37">
        <v>317952</v>
      </c>
      <c r="AC45" s="37">
        <v>27596</v>
      </c>
      <c r="AD45" s="37">
        <v>5760</v>
      </c>
      <c r="AE45" s="37">
        <v>259</v>
      </c>
      <c r="AF45" s="32">
        <v>2</v>
      </c>
      <c r="AG45" s="32">
        <v>2</v>
      </c>
      <c r="AH45" s="37">
        <v>51</v>
      </c>
      <c r="AI45" s="39">
        <f t="shared" si="39"/>
        <v>3.5416666666666666E-2</v>
      </c>
      <c r="AK45" s="9">
        <f t="shared" si="40"/>
        <v>0.52941176470588236</v>
      </c>
      <c r="AL45" s="9">
        <f t="shared" si="41"/>
        <v>0.39215686274509803</v>
      </c>
      <c r="AM45" s="6">
        <f t="shared" si="42"/>
        <v>0.90196078431372551</v>
      </c>
      <c r="AN45" s="8">
        <f t="shared" si="43"/>
        <v>0.88425753965737475</v>
      </c>
      <c r="AO45" s="8">
        <f t="shared" si="44"/>
        <v>0.11574246034262523</v>
      </c>
      <c r="AP45" s="40">
        <f t="shared" si="45"/>
        <v>2250.6078431372548</v>
      </c>
      <c r="AQ45" s="40">
        <f t="shared" si="46"/>
        <v>5.0784313725490193</v>
      </c>
      <c r="AR45" s="40">
        <f t="shared" si="47"/>
        <v>6234.3529411764703</v>
      </c>
      <c r="AS45" s="40"/>
      <c r="AT45" s="40">
        <f t="shared" si="48"/>
        <v>654.03921568627447</v>
      </c>
    </row>
    <row r="46" spans="1:46" ht="15" customHeight="1" x14ac:dyDescent="0.25">
      <c r="A46" s="6">
        <f t="shared" si="28"/>
        <v>1.8446876782954596E-7</v>
      </c>
      <c r="B46" s="7" t="s">
        <v>48</v>
      </c>
      <c r="C46" s="24" t="s">
        <v>37</v>
      </c>
      <c r="D46" s="13" t="str">
        <f t="shared" si="49"/>
        <v>Hitscan Charge</v>
      </c>
      <c r="E46" s="4" t="s">
        <v>64</v>
      </c>
      <c r="F46" s="4" t="s">
        <v>62</v>
      </c>
      <c r="H46" s="32">
        <f t="shared" si="29"/>
        <v>3</v>
      </c>
      <c r="I46" s="8">
        <f t="shared" si="30"/>
        <v>0.33333333333333331</v>
      </c>
      <c r="J46" s="9">
        <f t="shared" si="31"/>
        <v>3.7307692307692308</v>
      </c>
      <c r="K46" s="40">
        <f t="shared" si="32"/>
        <v>7190.1724137931033</v>
      </c>
      <c r="L46" s="40" t="str">
        <f t="shared" si="33"/>
        <v xml:space="preserve"> </v>
      </c>
      <c r="M46" s="40">
        <f t="shared" si="34"/>
        <v>411.55172413793105</v>
      </c>
      <c r="O46" s="10">
        <f t="shared" si="35"/>
        <v>7</v>
      </c>
      <c r="P46" s="10">
        <f t="shared" si="36"/>
        <v>4</v>
      </c>
      <c r="Q46" s="10">
        <f t="shared" si="37"/>
        <v>-9</v>
      </c>
      <c r="R46" s="9">
        <f t="shared" si="38"/>
        <v>0</v>
      </c>
      <c r="T46" s="5" t="s">
        <v>131</v>
      </c>
      <c r="U46" s="32">
        <v>11935</v>
      </c>
      <c r="V46" s="32">
        <v>22</v>
      </c>
      <c r="W46" s="32">
        <v>13</v>
      </c>
      <c r="X46" s="37">
        <v>53</v>
      </c>
      <c r="Y46" s="37">
        <v>208515</v>
      </c>
      <c r="Z46" s="37">
        <v>208515</v>
      </c>
      <c r="AA46" s="37">
        <v>225752</v>
      </c>
      <c r="AB46" s="37">
        <v>0</v>
      </c>
      <c r="AC46" s="37">
        <v>0</v>
      </c>
      <c r="AD46" s="37">
        <v>29407</v>
      </c>
      <c r="AE46" s="37">
        <v>310</v>
      </c>
      <c r="AF46" s="32">
        <v>1</v>
      </c>
      <c r="AG46" s="32">
        <v>2</v>
      </c>
      <c r="AH46" s="37">
        <v>29</v>
      </c>
      <c r="AI46" s="39">
        <f t="shared" si="39"/>
        <v>2.013888888888889E-2</v>
      </c>
      <c r="AK46" s="9">
        <f t="shared" si="40"/>
        <v>0.75862068965517238</v>
      </c>
      <c r="AL46" s="9">
        <f t="shared" si="41"/>
        <v>0.44827586206896552</v>
      </c>
      <c r="AM46" s="6">
        <f t="shared" si="42"/>
        <v>1.8275862068965518</v>
      </c>
      <c r="AN46" s="8">
        <f t="shared" si="43"/>
        <v>1</v>
      </c>
      <c r="AO46" s="8">
        <f t="shared" si="44"/>
        <v>0</v>
      </c>
      <c r="AP46" s="40">
        <f t="shared" si="45"/>
        <v>7784.5517241379312</v>
      </c>
      <c r="AQ46" s="40">
        <f t="shared" si="46"/>
        <v>10.689655172413794</v>
      </c>
      <c r="AR46" s="40" t="str">
        <f t="shared" si="47"/>
        <v xml:space="preserve"> </v>
      </c>
      <c r="AS46" s="40"/>
      <c r="AT46" s="40">
        <f t="shared" si="48"/>
        <v>1014.0344827586207</v>
      </c>
    </row>
    <row r="47" spans="1:46" ht="15" customHeight="1" x14ac:dyDescent="0.25">
      <c r="A47" s="6">
        <f t="shared" si="28"/>
        <v>3.6049229077560924E-10</v>
      </c>
      <c r="B47" s="4" t="s">
        <v>10</v>
      </c>
      <c r="C47" s="22" t="s">
        <v>37</v>
      </c>
      <c r="D47" s="13" t="str">
        <f t="shared" si="49"/>
        <v>Projectile Repeater</v>
      </c>
      <c r="E47" s="4" t="s">
        <v>65</v>
      </c>
      <c r="F47" s="4" t="s">
        <v>63</v>
      </c>
      <c r="H47" s="32">
        <f t="shared" si="29"/>
        <v>2</v>
      </c>
      <c r="I47" s="8">
        <f t="shared" si="30"/>
        <v>1</v>
      </c>
      <c r="J47" s="9">
        <f t="shared" si="31"/>
        <v>31.5</v>
      </c>
      <c r="K47" s="40">
        <f t="shared" si="32"/>
        <v>6836.875</v>
      </c>
      <c r="L47" s="40" t="str">
        <f t="shared" si="33"/>
        <v xml:space="preserve"> </v>
      </c>
      <c r="M47" s="40">
        <f t="shared" si="34"/>
        <v>317.75</v>
      </c>
      <c r="O47" s="10">
        <f t="shared" si="35"/>
        <v>8</v>
      </c>
      <c r="P47" s="10">
        <f t="shared" si="36"/>
        <v>-2</v>
      </c>
      <c r="Q47" s="10">
        <f t="shared" si="37"/>
        <v>-28</v>
      </c>
      <c r="R47" s="9">
        <f t="shared" si="38"/>
        <v>0</v>
      </c>
      <c r="T47" s="5" t="s">
        <v>183</v>
      </c>
      <c r="U47" s="32">
        <v>5084</v>
      </c>
      <c r="V47" s="32">
        <v>20</v>
      </c>
      <c r="W47" s="32">
        <v>1</v>
      </c>
      <c r="X47" s="37">
        <v>23</v>
      </c>
      <c r="Y47" s="37">
        <v>109390</v>
      </c>
      <c r="Z47" s="37">
        <v>106790</v>
      </c>
      <c r="AA47" s="37">
        <v>80939</v>
      </c>
      <c r="AB47" s="37">
        <v>51970</v>
      </c>
      <c r="AC47" s="37">
        <v>0</v>
      </c>
      <c r="AD47" s="37">
        <v>6813</v>
      </c>
      <c r="AE47" s="37">
        <v>135</v>
      </c>
      <c r="AF47" s="32">
        <v>2</v>
      </c>
      <c r="AG47" s="32">
        <v>0</v>
      </c>
      <c r="AH47" s="37">
        <v>16</v>
      </c>
      <c r="AI47" s="39">
        <f t="shared" si="39"/>
        <v>1.1111111111111112E-2</v>
      </c>
      <c r="AK47" s="9">
        <f t="shared" si="40"/>
        <v>1.25</v>
      </c>
      <c r="AL47" s="9">
        <f t="shared" si="41"/>
        <v>6.25E-2</v>
      </c>
      <c r="AM47" s="6">
        <f t="shared" si="42"/>
        <v>1.4375</v>
      </c>
      <c r="AN47" s="8">
        <f t="shared" si="43"/>
        <v>0.97623183106316846</v>
      </c>
      <c r="AO47" s="8">
        <f t="shared" si="44"/>
        <v>2.3768168936831521E-2</v>
      </c>
      <c r="AP47" s="40">
        <f t="shared" si="45"/>
        <v>5058.6875</v>
      </c>
      <c r="AQ47" s="40">
        <f t="shared" si="46"/>
        <v>8.4375</v>
      </c>
      <c r="AR47" s="40">
        <f t="shared" si="47"/>
        <v>3248.125</v>
      </c>
      <c r="AS47" s="40"/>
      <c r="AT47" s="40">
        <f t="shared" si="48"/>
        <v>425.8125</v>
      </c>
    </row>
    <row r="48" spans="1:46" ht="15" customHeight="1" x14ac:dyDescent="0.25">
      <c r="A48" s="6">
        <f t="shared" ref="A48:A64" si="50">IF(H48=" "," ",(((M48*LOG(H48)^10)/(LOG(H48)^10+9))*(((J48*I48*LOG(H48)^10)/(LOG(H48)^10+9))/(12.8))))</f>
        <v>3.8643705939760037E-7</v>
      </c>
      <c r="B48" s="7" t="s">
        <v>53</v>
      </c>
      <c r="C48" s="22" t="s">
        <v>37</v>
      </c>
      <c r="D48" s="13" t="str">
        <f t="shared" si="49"/>
        <v>Hitscan Tracking</v>
      </c>
      <c r="E48" s="4" t="s">
        <v>64</v>
      </c>
      <c r="F48" s="4" t="s">
        <v>91</v>
      </c>
      <c r="H48" s="32">
        <f t="shared" ref="H48:H64" si="51">IF(ISBLANK(AF48)," ",AF48+AG48)</f>
        <v>3</v>
      </c>
      <c r="I48" s="8">
        <f t="shared" ref="I48:I64" si="52">IF(ISBLANK(AF48),"",AF48/(AF48+AG48))</f>
        <v>0.66666666666666663</v>
      </c>
      <c r="J48" s="9">
        <f t="shared" ref="J48:J64" si="53">IF(ISBLANK(V48)," ",(V48+X48/2)/W48)</f>
        <v>2.9736842105263159</v>
      </c>
      <c r="K48" s="40">
        <f t="shared" ref="K48:K64" si="54">IF(Y48&gt;0,Y48/AH48," ")</f>
        <v>6500.6071428571431</v>
      </c>
      <c r="L48" s="40" t="str">
        <f t="shared" ref="L48:L64" si="55">IF(AC48&gt;0,(AC48)/AH48," ")</f>
        <v xml:space="preserve"> </v>
      </c>
      <c r="M48" s="40">
        <f t="shared" ref="M48:M64" si="56">IF(U48&gt;0,U48/AH48," ")</f>
        <v>540.82142857142856</v>
      </c>
      <c r="O48" s="10">
        <f t="shared" ref="O48:O64" si="57">IF(ISBLANK(AF48)," ",IF((P48+H48)&lt;=SUMIF($C$2:$C$6,C48,$F$2:$F$6),SUMIF($C$2:$C$6,C48,$F$2:$F$6)-H48,P48))</f>
        <v>7</v>
      </c>
      <c r="P48" s="10">
        <f t="shared" ref="P48:P64" si="58">IF(ISBLANK(AF48)," ",_xlfn.CEILING.MATH(((SUMIF($C$2:$C$6,C48,$D$2:$D$6)-1)*AF48+SUMIF($C$2:$C$6,C48,$D$2:$D$6)*AG48)/(1-SUMIF($C$2:$C$6,C48,$D$2:$D$6))))</f>
        <v>1</v>
      </c>
      <c r="Q48" s="10">
        <f t="shared" ref="Q48:Q64" si="59">IF(ISBLANK(V48)," ",_xlfn.CEILING.MATH(SUMIF($C$2:$C$6,C48,$E$2:$E$6)*W48-V48-X48/2))</f>
        <v>1</v>
      </c>
      <c r="R48" s="9">
        <f t="shared" ref="R48:R64" si="60">IF(AND(O48&gt;0,Q48&gt;0),Q48/O48,(IF(AND(O48&lt;=0,Q48&gt;0),Q48,0)))</f>
        <v>0.14285714285714285</v>
      </c>
      <c r="T48" s="5" t="s">
        <v>140</v>
      </c>
      <c r="U48" s="32">
        <v>15143</v>
      </c>
      <c r="V48" s="32">
        <v>32</v>
      </c>
      <c r="W48" s="32">
        <v>19</v>
      </c>
      <c r="X48" s="37">
        <v>49</v>
      </c>
      <c r="Y48" s="37">
        <v>182017</v>
      </c>
      <c r="Z48" s="37">
        <v>143184</v>
      </c>
      <c r="AA48" s="37">
        <v>363723</v>
      </c>
      <c r="AB48" s="37">
        <v>0</v>
      </c>
      <c r="AC48" s="37">
        <v>0</v>
      </c>
      <c r="AD48" s="37">
        <v>82819</v>
      </c>
      <c r="AE48" s="37">
        <v>377</v>
      </c>
      <c r="AF48" s="32">
        <v>2</v>
      </c>
      <c r="AG48" s="32">
        <v>1</v>
      </c>
      <c r="AH48" s="37">
        <v>28</v>
      </c>
      <c r="AI48" s="39">
        <f t="shared" ref="AI48:AI64" si="61">IF(AH48&gt;0,AH48/1440," ")</f>
        <v>1.9444444444444445E-2</v>
      </c>
      <c r="AK48" s="9">
        <f t="shared" ref="AK48:AK64" si="62">IF(V48&gt;0,V48/AH48," ")</f>
        <v>1.1428571428571428</v>
      </c>
      <c r="AL48" s="9">
        <f t="shared" ref="AL48:AL64" si="63">IF(W48&gt;0,W48/AH48," ")</f>
        <v>0.6785714285714286</v>
      </c>
      <c r="AM48" s="6">
        <f t="shared" ref="AM48:AM64" si="64">IF(X48&gt;0,X48/AH48," ")</f>
        <v>1.75</v>
      </c>
      <c r="AN48" s="8">
        <f t="shared" ref="AN48:AN64" si="65">IF(Y48&gt;0,Z48/Y48," ")</f>
        <v>0.78665179626078885</v>
      </c>
      <c r="AO48" s="8">
        <f t="shared" ref="AO48:AO64" si="66">IF(Y48&gt;0,(Y48-Z48)/Y48," ")</f>
        <v>0.21334820373921118</v>
      </c>
      <c r="AP48" s="40">
        <f t="shared" ref="AP48:AP64" si="67">IF(AA48&gt;0,AA48/AH48," ")</f>
        <v>12990.107142857143</v>
      </c>
      <c r="AQ48" s="40">
        <f t="shared" ref="AQ48:AQ64" si="68">IF(AE48&gt;0,AE48/AH48," ")</f>
        <v>13.464285714285714</v>
      </c>
      <c r="AR48" s="40" t="str">
        <f t="shared" ref="AR48:AR64" si="69">IF(AB48&gt;0,AB48/AH48," ")</f>
        <v xml:space="preserve"> </v>
      </c>
      <c r="AS48" s="40"/>
      <c r="AT48" s="40">
        <f t="shared" ref="AT48:AT64" si="70">IF(ISBLANK(AH48)," ",(AC48+AD48)/AH48)</f>
        <v>2957.8214285714284</v>
      </c>
    </row>
    <row r="49" spans="1:46" ht="15" customHeight="1" x14ac:dyDescent="0.25">
      <c r="A49" s="6">
        <f t="shared" si="50"/>
        <v>0</v>
      </c>
      <c r="B49" s="7" t="s">
        <v>15</v>
      </c>
      <c r="C49" s="22" t="s">
        <v>37</v>
      </c>
      <c r="D49" s="13" t="str">
        <f t="shared" si="49"/>
        <v>Hitscan Tracking</v>
      </c>
      <c r="E49" s="4" t="s">
        <v>64</v>
      </c>
      <c r="F49" s="4" t="s">
        <v>91</v>
      </c>
      <c r="H49" s="32">
        <f t="shared" si="51"/>
        <v>1</v>
      </c>
      <c r="I49" s="8">
        <f t="shared" si="52"/>
        <v>1</v>
      </c>
      <c r="J49" s="9">
        <f t="shared" si="53"/>
        <v>5.5</v>
      </c>
      <c r="K49" s="40">
        <f t="shared" si="54"/>
        <v>4067.875</v>
      </c>
      <c r="L49" s="40">
        <f t="shared" si="55"/>
        <v>311.125</v>
      </c>
      <c r="M49" s="40">
        <f t="shared" si="56"/>
        <v>242.8125</v>
      </c>
      <c r="O49" s="10">
        <f t="shared" si="57"/>
        <v>9</v>
      </c>
      <c r="P49" s="10">
        <f t="shared" si="58"/>
        <v>-1</v>
      </c>
      <c r="Q49" s="10">
        <f t="shared" si="59"/>
        <v>-10</v>
      </c>
      <c r="R49" s="9">
        <f t="shared" si="60"/>
        <v>0</v>
      </c>
      <c r="T49" s="5" t="s">
        <v>183</v>
      </c>
      <c r="U49" s="32">
        <v>3885</v>
      </c>
      <c r="V49" s="32">
        <v>12</v>
      </c>
      <c r="W49" s="32">
        <v>4</v>
      </c>
      <c r="X49" s="37">
        <v>20</v>
      </c>
      <c r="Y49" s="37">
        <v>65086</v>
      </c>
      <c r="Z49" s="37">
        <v>63808</v>
      </c>
      <c r="AA49" s="37">
        <v>118657</v>
      </c>
      <c r="AB49" s="37">
        <v>35954</v>
      </c>
      <c r="AC49" s="37">
        <v>4978</v>
      </c>
      <c r="AD49" s="37">
        <v>28652</v>
      </c>
      <c r="AE49" s="37">
        <v>125</v>
      </c>
      <c r="AF49" s="32">
        <v>1</v>
      </c>
      <c r="AG49" s="32">
        <v>0</v>
      </c>
      <c r="AH49" s="37">
        <v>16</v>
      </c>
      <c r="AI49" s="39">
        <f t="shared" si="61"/>
        <v>1.1111111111111112E-2</v>
      </c>
      <c r="AK49" s="9">
        <f t="shared" si="62"/>
        <v>0.75</v>
      </c>
      <c r="AL49" s="9">
        <f t="shared" si="63"/>
        <v>0.25</v>
      </c>
      <c r="AM49" s="6">
        <f t="shared" si="64"/>
        <v>1.25</v>
      </c>
      <c r="AN49" s="8">
        <f t="shared" si="65"/>
        <v>0.98036444089358699</v>
      </c>
      <c r="AO49" s="8">
        <f t="shared" si="66"/>
        <v>1.9635559106413052E-2</v>
      </c>
      <c r="AP49" s="40">
        <f t="shared" si="67"/>
        <v>7416.0625</v>
      </c>
      <c r="AQ49" s="40">
        <f t="shared" si="68"/>
        <v>7.8125</v>
      </c>
      <c r="AR49" s="40">
        <f t="shared" si="69"/>
        <v>2247.125</v>
      </c>
      <c r="AS49" s="40"/>
      <c r="AT49" s="40">
        <f t="shared" si="70"/>
        <v>2101.875</v>
      </c>
    </row>
    <row r="50" spans="1:46" ht="15" customHeight="1" x14ac:dyDescent="0.25">
      <c r="A50" s="6">
        <f t="shared" si="50"/>
        <v>15.50452939412833</v>
      </c>
      <c r="B50" s="7" t="s">
        <v>3</v>
      </c>
      <c r="C50" s="22" t="s">
        <v>37</v>
      </c>
      <c r="D50" s="13" t="str">
        <f t="shared" si="49"/>
        <v>Hitscan Tracking</v>
      </c>
      <c r="E50" s="4" t="s">
        <v>64</v>
      </c>
      <c r="F50" s="4" t="s">
        <v>91</v>
      </c>
      <c r="H50" s="32">
        <f t="shared" si="51"/>
        <v>20</v>
      </c>
      <c r="I50" s="8">
        <f t="shared" si="52"/>
        <v>0.55000000000000004</v>
      </c>
      <c r="J50" s="9">
        <f t="shared" si="53"/>
        <v>3.25</v>
      </c>
      <c r="K50" s="40">
        <f t="shared" si="54"/>
        <v>6610.4</v>
      </c>
      <c r="L50" s="40" t="str">
        <f t="shared" si="55"/>
        <v xml:space="preserve"> </v>
      </c>
      <c r="M50" s="40">
        <f t="shared" si="56"/>
        <v>301.42222222222222</v>
      </c>
      <c r="O50" s="10">
        <f t="shared" si="57"/>
        <v>10</v>
      </c>
      <c r="P50" s="10">
        <f t="shared" si="58"/>
        <v>10</v>
      </c>
      <c r="Q50" s="10">
        <f t="shared" si="59"/>
        <v>-29</v>
      </c>
      <c r="R50" s="9">
        <f t="shared" si="60"/>
        <v>0</v>
      </c>
      <c r="T50" s="5" t="s">
        <v>184</v>
      </c>
      <c r="U50" s="32">
        <v>67820</v>
      </c>
      <c r="V50" s="32">
        <v>249</v>
      </c>
      <c r="W50" s="32">
        <v>118</v>
      </c>
      <c r="X50" s="37">
        <v>269</v>
      </c>
      <c r="Y50" s="37">
        <v>1487340</v>
      </c>
      <c r="Z50" s="37">
        <v>1058654</v>
      </c>
      <c r="AA50" s="37">
        <v>1312082</v>
      </c>
      <c r="AB50" s="37">
        <v>420553</v>
      </c>
      <c r="AC50" s="37">
        <v>0</v>
      </c>
      <c r="AD50" s="37">
        <v>169416</v>
      </c>
      <c r="AE50" s="37">
        <v>1172</v>
      </c>
      <c r="AF50" s="32">
        <v>11</v>
      </c>
      <c r="AG50" s="32">
        <v>9</v>
      </c>
      <c r="AH50" s="37">
        <v>225</v>
      </c>
      <c r="AI50" s="39">
        <f t="shared" si="61"/>
        <v>0.15625</v>
      </c>
      <c r="AK50" s="9">
        <f t="shared" si="62"/>
        <v>1.1066666666666667</v>
      </c>
      <c r="AL50" s="9">
        <f t="shared" si="63"/>
        <v>0.52444444444444449</v>
      </c>
      <c r="AM50" s="6">
        <f t="shared" si="64"/>
        <v>1.1955555555555555</v>
      </c>
      <c r="AN50" s="8">
        <f t="shared" si="65"/>
        <v>0.71177672892546429</v>
      </c>
      <c r="AO50" s="8">
        <f t="shared" si="66"/>
        <v>0.28822327107453577</v>
      </c>
      <c r="AP50" s="40">
        <f t="shared" si="67"/>
        <v>5831.4755555555557</v>
      </c>
      <c r="AQ50" s="40">
        <f t="shared" si="68"/>
        <v>5.2088888888888887</v>
      </c>
      <c r="AR50" s="40">
        <f t="shared" si="69"/>
        <v>1869.1244444444444</v>
      </c>
      <c r="AS50" s="40"/>
      <c r="AT50" s="40">
        <f t="shared" si="70"/>
        <v>752.96</v>
      </c>
    </row>
    <row r="51" spans="1:46" ht="15" customHeight="1" x14ac:dyDescent="0.25">
      <c r="A51" s="6" t="str">
        <f t="shared" si="50"/>
        <v xml:space="preserve"> </v>
      </c>
      <c r="B51" s="7" t="s">
        <v>2</v>
      </c>
      <c r="C51" s="22" t="s">
        <v>37</v>
      </c>
      <c r="D51" s="13" t="str">
        <f t="shared" si="49"/>
        <v>Projectile Tracking</v>
      </c>
      <c r="E51" s="4" t="s">
        <v>65</v>
      </c>
      <c r="F51" s="4" t="s">
        <v>91</v>
      </c>
      <c r="H51" s="32" t="str">
        <f t="shared" si="51"/>
        <v xml:space="preserve"> </v>
      </c>
      <c r="I51" s="8" t="str">
        <f t="shared" si="52"/>
        <v/>
      </c>
      <c r="J51" s="9" t="str">
        <f t="shared" si="53"/>
        <v xml:space="preserve"> </v>
      </c>
      <c r="K51" s="40" t="str">
        <f t="shared" si="54"/>
        <v xml:space="preserve"> </v>
      </c>
      <c r="L51" s="40" t="str">
        <f t="shared" si="55"/>
        <v xml:space="preserve"> </v>
      </c>
      <c r="M51" s="40" t="str">
        <f t="shared" si="56"/>
        <v xml:space="preserve"> </v>
      </c>
      <c r="O51" s="10" t="str">
        <f t="shared" si="57"/>
        <v xml:space="preserve"> </v>
      </c>
      <c r="P51" s="10" t="str">
        <f t="shared" si="58"/>
        <v xml:space="preserve"> </v>
      </c>
      <c r="Q51" s="10" t="str">
        <f t="shared" si="59"/>
        <v xml:space="preserve"> </v>
      </c>
      <c r="R51" s="9" t="e">
        <f t="shared" si="60"/>
        <v>#VALUE!</v>
      </c>
      <c r="X51" s="37"/>
      <c r="Y51" s="37"/>
      <c r="Z51" s="37"/>
      <c r="AA51" s="37"/>
      <c r="AB51" s="37"/>
      <c r="AC51" s="37"/>
      <c r="AD51" s="37"/>
      <c r="AE51" s="37"/>
      <c r="AH51" s="37"/>
      <c r="AI51" s="39" t="str">
        <f t="shared" si="61"/>
        <v xml:space="preserve"> </v>
      </c>
      <c r="AK51" s="9" t="str">
        <f t="shared" si="62"/>
        <v xml:space="preserve"> </v>
      </c>
      <c r="AL51" s="9" t="str">
        <f t="shared" si="63"/>
        <v xml:space="preserve"> </v>
      </c>
      <c r="AM51" s="6" t="str">
        <f t="shared" si="64"/>
        <v xml:space="preserve"> </v>
      </c>
      <c r="AN51" s="8" t="str">
        <f t="shared" si="65"/>
        <v xml:space="preserve"> </v>
      </c>
      <c r="AO51" s="8" t="str">
        <f t="shared" si="66"/>
        <v xml:space="preserve"> </v>
      </c>
      <c r="AP51" s="40" t="str">
        <f t="shared" si="67"/>
        <v xml:space="preserve"> </v>
      </c>
      <c r="AQ51" s="40" t="str">
        <f t="shared" si="68"/>
        <v xml:space="preserve"> </v>
      </c>
      <c r="AR51" s="40" t="str">
        <f t="shared" si="69"/>
        <v xml:space="preserve"> </v>
      </c>
      <c r="AS51" s="40"/>
      <c r="AT51" s="40" t="str">
        <f t="shared" si="70"/>
        <v xml:space="preserve"> </v>
      </c>
    </row>
    <row r="52" spans="1:46" ht="15" customHeight="1" x14ac:dyDescent="0.25">
      <c r="A52" s="6" t="str">
        <f t="shared" si="50"/>
        <v xml:space="preserve"> </v>
      </c>
      <c r="B52" s="7" t="s">
        <v>1</v>
      </c>
      <c r="C52" s="22" t="s">
        <v>37</v>
      </c>
      <c r="D52" s="13" t="str">
        <f t="shared" si="49"/>
        <v>Projectile Arc</v>
      </c>
      <c r="E52" s="4" t="s">
        <v>65</v>
      </c>
      <c r="F52" s="4" t="s">
        <v>66</v>
      </c>
      <c r="H52" s="32" t="str">
        <f t="shared" si="51"/>
        <v xml:space="preserve"> </v>
      </c>
      <c r="I52" s="8" t="str">
        <f t="shared" si="52"/>
        <v/>
      </c>
      <c r="J52" s="9" t="str">
        <f t="shared" si="53"/>
        <v xml:space="preserve"> </v>
      </c>
      <c r="K52" s="40" t="str">
        <f t="shared" si="54"/>
        <v xml:space="preserve"> </v>
      </c>
      <c r="L52" s="40" t="str">
        <f t="shared" si="55"/>
        <v xml:space="preserve"> </v>
      </c>
      <c r="M52" s="40" t="str">
        <f t="shared" si="56"/>
        <v xml:space="preserve"> </v>
      </c>
      <c r="O52" s="10" t="str">
        <f t="shared" si="57"/>
        <v xml:space="preserve"> </v>
      </c>
      <c r="P52" s="10" t="str">
        <f t="shared" si="58"/>
        <v xml:space="preserve"> </v>
      </c>
      <c r="Q52" s="10" t="str">
        <f t="shared" si="59"/>
        <v xml:space="preserve"> </v>
      </c>
      <c r="R52" s="9" t="e">
        <f t="shared" si="60"/>
        <v>#VALUE!</v>
      </c>
      <c r="X52" s="37"/>
      <c r="Y52" s="37"/>
      <c r="Z52" s="37"/>
      <c r="AA52" s="37"/>
      <c r="AB52" s="37"/>
      <c r="AC52" s="37"/>
      <c r="AD52" s="37"/>
      <c r="AE52" s="37"/>
      <c r="AH52" s="37"/>
      <c r="AI52" s="39" t="str">
        <f t="shared" si="61"/>
        <v xml:space="preserve"> </v>
      </c>
      <c r="AK52" s="9" t="str">
        <f t="shared" si="62"/>
        <v xml:space="preserve"> </v>
      </c>
      <c r="AL52" s="9" t="str">
        <f t="shared" si="63"/>
        <v xml:space="preserve"> </v>
      </c>
      <c r="AM52" s="6" t="str">
        <f t="shared" si="64"/>
        <v xml:space="preserve"> </v>
      </c>
      <c r="AN52" s="8" t="str">
        <f t="shared" si="65"/>
        <v xml:space="preserve"> </v>
      </c>
      <c r="AO52" s="8" t="str">
        <f t="shared" si="66"/>
        <v xml:space="preserve"> </v>
      </c>
      <c r="AP52" s="40" t="str">
        <f t="shared" si="67"/>
        <v xml:space="preserve"> </v>
      </c>
      <c r="AQ52" s="40" t="str">
        <f t="shared" si="68"/>
        <v xml:space="preserve"> </v>
      </c>
      <c r="AR52" s="40" t="str">
        <f t="shared" si="69"/>
        <v xml:space="preserve"> </v>
      </c>
      <c r="AS52" s="40"/>
      <c r="AT52" s="40" t="str">
        <f t="shared" si="70"/>
        <v xml:space="preserve"> </v>
      </c>
    </row>
    <row r="53" spans="1:46" ht="15" customHeight="1" x14ac:dyDescent="0.25">
      <c r="A53" s="6" t="str">
        <f t="shared" si="50"/>
        <v xml:space="preserve"> </v>
      </c>
      <c r="B53" s="7" t="s">
        <v>18</v>
      </c>
      <c r="C53" s="22" t="s">
        <v>37</v>
      </c>
      <c r="D53" s="13" t="str">
        <f t="shared" si="49"/>
        <v>Projectile Melee</v>
      </c>
      <c r="E53" s="4" t="s">
        <v>65</v>
      </c>
      <c r="F53" s="4" t="s">
        <v>67</v>
      </c>
      <c r="H53" s="32" t="str">
        <f t="shared" si="51"/>
        <v xml:space="preserve"> </v>
      </c>
      <c r="I53" s="8" t="str">
        <f t="shared" si="52"/>
        <v/>
      </c>
      <c r="J53" s="9" t="str">
        <f t="shared" si="53"/>
        <v xml:space="preserve"> </v>
      </c>
      <c r="K53" s="40" t="str">
        <f t="shared" si="54"/>
        <v xml:space="preserve"> </v>
      </c>
      <c r="L53" s="40" t="str">
        <f t="shared" si="55"/>
        <v xml:space="preserve"> </v>
      </c>
      <c r="M53" s="40" t="str">
        <f t="shared" si="56"/>
        <v xml:space="preserve"> </v>
      </c>
      <c r="O53" s="10" t="str">
        <f t="shared" si="57"/>
        <v xml:space="preserve"> </v>
      </c>
      <c r="P53" s="10" t="str">
        <f t="shared" si="58"/>
        <v xml:space="preserve"> </v>
      </c>
      <c r="Q53" s="10" t="str">
        <f t="shared" si="59"/>
        <v xml:space="preserve"> </v>
      </c>
      <c r="R53" s="9" t="e">
        <f t="shared" si="60"/>
        <v>#VALUE!</v>
      </c>
      <c r="X53" s="37"/>
      <c r="Y53" s="37"/>
      <c r="Z53" s="37"/>
      <c r="AA53" s="37"/>
      <c r="AB53" s="37"/>
      <c r="AC53" s="37"/>
      <c r="AD53" s="37"/>
      <c r="AE53" s="37"/>
      <c r="AH53" s="37"/>
      <c r="AI53" s="39" t="str">
        <f t="shared" si="61"/>
        <v xml:space="preserve"> </v>
      </c>
      <c r="AK53" s="9" t="str">
        <f t="shared" si="62"/>
        <v xml:space="preserve"> </v>
      </c>
      <c r="AL53" s="9" t="str">
        <f t="shared" si="63"/>
        <v xml:space="preserve"> </v>
      </c>
      <c r="AM53" s="6" t="str">
        <f t="shared" si="64"/>
        <v xml:space="preserve"> </v>
      </c>
      <c r="AN53" s="8" t="str">
        <f t="shared" si="65"/>
        <v xml:space="preserve"> </v>
      </c>
      <c r="AO53" s="8" t="str">
        <f t="shared" si="66"/>
        <v xml:space="preserve"> </v>
      </c>
      <c r="AP53" s="40" t="str">
        <f t="shared" si="67"/>
        <v xml:space="preserve"> </v>
      </c>
      <c r="AQ53" s="40" t="str">
        <f t="shared" si="68"/>
        <v xml:space="preserve"> </v>
      </c>
      <c r="AR53" s="40" t="str">
        <f t="shared" si="69"/>
        <v xml:space="preserve"> </v>
      </c>
      <c r="AS53" s="40"/>
      <c r="AT53" s="40" t="str">
        <f t="shared" si="70"/>
        <v xml:space="preserve"> </v>
      </c>
    </row>
    <row r="54" spans="1:46" ht="15" customHeight="1" x14ac:dyDescent="0.25">
      <c r="A54" s="6" t="str">
        <f t="shared" si="50"/>
        <v xml:space="preserve"> </v>
      </c>
      <c r="B54" s="7" t="s">
        <v>110</v>
      </c>
      <c r="C54" s="22" t="s">
        <v>37</v>
      </c>
      <c r="D54" s="13" t="str">
        <f t="shared" si="49"/>
        <v>Projectile Tracking</v>
      </c>
      <c r="E54" s="4" t="s">
        <v>65</v>
      </c>
      <c r="F54" s="4" t="s">
        <v>91</v>
      </c>
      <c r="H54" s="32" t="str">
        <f t="shared" si="51"/>
        <v xml:space="preserve"> </v>
      </c>
      <c r="I54" s="8" t="str">
        <f t="shared" si="52"/>
        <v/>
      </c>
      <c r="J54" s="9" t="str">
        <f t="shared" si="53"/>
        <v xml:space="preserve"> </v>
      </c>
      <c r="K54" s="40" t="str">
        <f t="shared" si="54"/>
        <v xml:space="preserve"> </v>
      </c>
      <c r="L54" s="40" t="str">
        <f t="shared" si="55"/>
        <v xml:space="preserve"> </v>
      </c>
      <c r="M54" s="40" t="str">
        <f t="shared" si="56"/>
        <v xml:space="preserve"> </v>
      </c>
      <c r="O54" s="10" t="str">
        <f t="shared" si="57"/>
        <v xml:space="preserve"> </v>
      </c>
      <c r="P54" s="10" t="str">
        <f t="shared" si="58"/>
        <v xml:space="preserve"> </v>
      </c>
      <c r="Q54" s="10" t="str">
        <f t="shared" si="59"/>
        <v xml:space="preserve"> </v>
      </c>
      <c r="R54" s="9" t="e">
        <f t="shared" si="60"/>
        <v>#VALUE!</v>
      </c>
      <c r="X54" s="37"/>
      <c r="Y54" s="37"/>
      <c r="Z54" s="37"/>
      <c r="AA54" s="37"/>
      <c r="AB54" s="37"/>
      <c r="AC54" s="37"/>
      <c r="AD54" s="37"/>
      <c r="AE54" s="37"/>
      <c r="AH54" s="37"/>
      <c r="AI54" s="39" t="str">
        <f t="shared" si="61"/>
        <v xml:space="preserve"> </v>
      </c>
      <c r="AK54" s="9" t="str">
        <f t="shared" si="62"/>
        <v xml:space="preserve"> </v>
      </c>
      <c r="AL54" s="9" t="str">
        <f t="shared" si="63"/>
        <v xml:space="preserve"> </v>
      </c>
      <c r="AM54" s="6" t="str">
        <f t="shared" si="64"/>
        <v xml:space="preserve"> </v>
      </c>
      <c r="AN54" s="8" t="str">
        <f t="shared" si="65"/>
        <v xml:space="preserve"> </v>
      </c>
      <c r="AO54" s="8" t="str">
        <f t="shared" si="66"/>
        <v xml:space="preserve"> </v>
      </c>
      <c r="AP54" s="40" t="str">
        <f t="shared" si="67"/>
        <v xml:space="preserve"> </v>
      </c>
      <c r="AQ54" s="40" t="str">
        <f t="shared" si="68"/>
        <v xml:space="preserve"> </v>
      </c>
      <c r="AR54" s="40" t="str">
        <f t="shared" si="69"/>
        <v xml:space="preserve"> </v>
      </c>
      <c r="AS54" s="40"/>
      <c r="AT54" s="40" t="str">
        <f t="shared" si="70"/>
        <v xml:space="preserve"> </v>
      </c>
    </row>
    <row r="55" spans="1:46" ht="15" customHeight="1" x14ac:dyDescent="0.25">
      <c r="A55" s="6">
        <f t="shared" si="50"/>
        <v>69.735758739035745</v>
      </c>
      <c r="B55" s="7" t="s">
        <v>12</v>
      </c>
      <c r="C55" s="22" t="s">
        <v>40</v>
      </c>
      <c r="D55" s="13" t="str">
        <f t="shared" si="49"/>
        <v>Hitscan Tracking Repeater</v>
      </c>
      <c r="E55" s="12" t="s">
        <v>64</v>
      </c>
      <c r="F55" s="12" t="s">
        <v>92</v>
      </c>
      <c r="H55" s="32">
        <f t="shared" si="51"/>
        <v>24</v>
      </c>
      <c r="I55" s="8">
        <f t="shared" si="52"/>
        <v>0.75</v>
      </c>
      <c r="J55" s="9">
        <f t="shared" si="53"/>
        <v>5.25</v>
      </c>
      <c r="K55" s="40">
        <f t="shared" si="54"/>
        <v>3643.34</v>
      </c>
      <c r="L55" s="40">
        <f t="shared" si="55"/>
        <v>5831.1750000000002</v>
      </c>
      <c r="M55" s="40">
        <f t="shared" si="56"/>
        <v>418.52499999999998</v>
      </c>
      <c r="O55" s="10">
        <f t="shared" si="57"/>
        <v>-4</v>
      </c>
      <c r="P55" s="10">
        <f t="shared" si="58"/>
        <v>-4</v>
      </c>
      <c r="Q55" s="10">
        <f t="shared" si="59"/>
        <v>-180</v>
      </c>
      <c r="R55" s="9">
        <f t="shared" si="60"/>
        <v>0</v>
      </c>
      <c r="T55" s="5" t="s">
        <v>212</v>
      </c>
      <c r="U55" s="32">
        <v>83705</v>
      </c>
      <c r="V55" s="32">
        <v>149</v>
      </c>
      <c r="W55" s="32">
        <v>80</v>
      </c>
      <c r="X55" s="37">
        <v>542</v>
      </c>
      <c r="Y55" s="37">
        <v>728668</v>
      </c>
      <c r="Z55" s="37">
        <v>584737</v>
      </c>
      <c r="AA55" s="37">
        <v>682473</v>
      </c>
      <c r="AB55" s="37">
        <v>0</v>
      </c>
      <c r="AC55" s="37">
        <v>1166235</v>
      </c>
      <c r="AD55" s="37">
        <v>332315</v>
      </c>
      <c r="AE55" s="37">
        <v>480</v>
      </c>
      <c r="AF55" s="32">
        <v>18</v>
      </c>
      <c r="AG55" s="32">
        <v>6</v>
      </c>
      <c r="AH55" s="37">
        <v>200</v>
      </c>
      <c r="AI55" s="39">
        <f t="shared" si="61"/>
        <v>0.1388888888888889</v>
      </c>
      <c r="AK55" s="9">
        <f t="shared" si="62"/>
        <v>0.745</v>
      </c>
      <c r="AL55" s="9">
        <f t="shared" si="63"/>
        <v>0.4</v>
      </c>
      <c r="AM55" s="6">
        <f t="shared" si="64"/>
        <v>2.71</v>
      </c>
      <c r="AN55" s="8">
        <f t="shared" si="65"/>
        <v>0.80247382895914188</v>
      </c>
      <c r="AO55" s="8">
        <f t="shared" si="66"/>
        <v>0.19752617104085812</v>
      </c>
      <c r="AP55" s="40">
        <f t="shared" si="67"/>
        <v>3412.3649999999998</v>
      </c>
      <c r="AQ55" s="40">
        <f t="shared" si="68"/>
        <v>2.4</v>
      </c>
      <c r="AR55" s="40" t="str">
        <f t="shared" si="69"/>
        <v xml:space="preserve"> </v>
      </c>
      <c r="AS55" s="40"/>
      <c r="AT55" s="40">
        <f t="shared" si="70"/>
        <v>7492.75</v>
      </c>
    </row>
    <row r="56" spans="1:46" ht="15" customHeight="1" x14ac:dyDescent="0.25">
      <c r="A56" s="6">
        <f t="shared" si="50"/>
        <v>56.808849930435713</v>
      </c>
      <c r="B56" s="7" t="s">
        <v>14</v>
      </c>
      <c r="C56" s="22" t="s">
        <v>40</v>
      </c>
      <c r="D56" s="13" t="str">
        <f t="shared" si="49"/>
        <v>Projectile Repeater</v>
      </c>
      <c r="E56" s="4" t="s">
        <v>65</v>
      </c>
      <c r="F56" s="4" t="s">
        <v>63</v>
      </c>
      <c r="H56" s="32">
        <f t="shared" si="51"/>
        <v>42</v>
      </c>
      <c r="I56" s="8">
        <f t="shared" si="52"/>
        <v>0.7142857142857143</v>
      </c>
      <c r="J56" s="9">
        <f t="shared" si="53"/>
        <v>3.0369565217391306</v>
      </c>
      <c r="K56" s="40">
        <f t="shared" si="54"/>
        <v>4592.1489898989903</v>
      </c>
      <c r="L56" s="40">
        <f t="shared" si="55"/>
        <v>6231.8055555555557</v>
      </c>
      <c r="M56" s="40">
        <f t="shared" si="56"/>
        <v>384.39646464646466</v>
      </c>
      <c r="O56" s="10">
        <f t="shared" si="57"/>
        <v>-2</v>
      </c>
      <c r="P56" s="10">
        <f t="shared" si="58"/>
        <v>-2</v>
      </c>
      <c r="Q56" s="10">
        <f t="shared" si="59"/>
        <v>-8</v>
      </c>
      <c r="R56" s="9">
        <f t="shared" si="60"/>
        <v>0</v>
      </c>
      <c r="T56" s="5" t="s">
        <v>186</v>
      </c>
      <c r="U56" s="32">
        <v>152221</v>
      </c>
      <c r="V56" s="32">
        <v>227</v>
      </c>
      <c r="W56" s="32">
        <v>230</v>
      </c>
      <c r="X56" s="37">
        <v>943</v>
      </c>
      <c r="Y56" s="37">
        <v>1818491</v>
      </c>
      <c r="Z56" s="37">
        <v>1493463</v>
      </c>
      <c r="AA56" s="37">
        <v>1906210</v>
      </c>
      <c r="AB56" s="37">
        <v>0</v>
      </c>
      <c r="AC56" s="37">
        <v>2467795</v>
      </c>
      <c r="AD56" s="37">
        <v>1092251</v>
      </c>
      <c r="AE56" s="37">
        <v>2250</v>
      </c>
      <c r="AF56" s="32">
        <v>30</v>
      </c>
      <c r="AG56" s="32">
        <v>12</v>
      </c>
      <c r="AH56" s="37">
        <v>396</v>
      </c>
      <c r="AI56" s="39">
        <f t="shared" si="61"/>
        <v>0.27500000000000002</v>
      </c>
      <c r="AK56" s="9">
        <f t="shared" si="62"/>
        <v>0.5732323232323232</v>
      </c>
      <c r="AL56" s="9">
        <f t="shared" si="63"/>
        <v>0.58080808080808077</v>
      </c>
      <c r="AM56" s="6">
        <f t="shared" si="64"/>
        <v>2.3813131313131315</v>
      </c>
      <c r="AN56" s="8">
        <f t="shared" si="65"/>
        <v>0.8212649938877894</v>
      </c>
      <c r="AO56" s="8">
        <f t="shared" si="66"/>
        <v>0.17873500611221063</v>
      </c>
      <c r="AP56" s="40">
        <f t="shared" si="67"/>
        <v>4813.6616161616157</v>
      </c>
      <c r="AQ56" s="40">
        <f t="shared" si="68"/>
        <v>5.6818181818181817</v>
      </c>
      <c r="AR56" s="40" t="str">
        <f t="shared" si="69"/>
        <v xml:space="preserve"> </v>
      </c>
      <c r="AS56" s="40"/>
      <c r="AT56" s="40">
        <f t="shared" si="70"/>
        <v>8990.015151515152</v>
      </c>
    </row>
    <row r="57" spans="1:46" ht="15" customHeight="1" x14ac:dyDescent="0.25">
      <c r="A57" s="6">
        <f t="shared" si="50"/>
        <v>0.69674137969258754</v>
      </c>
      <c r="B57" s="7" t="s">
        <v>17</v>
      </c>
      <c r="C57" s="22" t="s">
        <v>40</v>
      </c>
      <c r="D57" s="13" t="str">
        <f t="shared" si="49"/>
        <v>Hitscan Tracking</v>
      </c>
      <c r="E57" s="4" t="s">
        <v>64</v>
      </c>
      <c r="F57" s="4" t="s">
        <v>91</v>
      </c>
      <c r="H57" s="32">
        <f t="shared" si="51"/>
        <v>9</v>
      </c>
      <c r="I57" s="8">
        <f t="shared" si="52"/>
        <v>0.88888888888888884</v>
      </c>
      <c r="J57" s="9">
        <f t="shared" si="53"/>
        <v>4.4264705882352944</v>
      </c>
      <c r="K57" s="40">
        <f t="shared" si="54"/>
        <v>4858.9382716049386</v>
      </c>
      <c r="L57" s="40">
        <f t="shared" si="55"/>
        <v>9257.4938271604933</v>
      </c>
      <c r="M57" s="40">
        <f t="shared" si="56"/>
        <v>535.91358024691363</v>
      </c>
      <c r="O57" s="10">
        <f t="shared" si="57"/>
        <v>1</v>
      </c>
      <c r="P57" s="10">
        <f t="shared" si="58"/>
        <v>-5</v>
      </c>
      <c r="Q57" s="10">
        <f t="shared" si="59"/>
        <v>-48</v>
      </c>
      <c r="R57" s="9">
        <f t="shared" si="60"/>
        <v>0</v>
      </c>
      <c r="T57" s="5" t="s">
        <v>133</v>
      </c>
      <c r="U57" s="32">
        <v>43409</v>
      </c>
      <c r="V57" s="32">
        <v>57</v>
      </c>
      <c r="W57" s="32">
        <v>34</v>
      </c>
      <c r="X57" s="37">
        <v>187</v>
      </c>
      <c r="Y57" s="37">
        <v>393574</v>
      </c>
      <c r="Z57" s="37">
        <v>247659</v>
      </c>
      <c r="AA57" s="37">
        <v>413073</v>
      </c>
      <c r="AB57" s="37">
        <v>1880</v>
      </c>
      <c r="AC57" s="37">
        <v>749857</v>
      </c>
      <c r="AD57" s="37">
        <v>288847</v>
      </c>
      <c r="AE57" s="37">
        <v>1008</v>
      </c>
      <c r="AF57" s="32">
        <v>8</v>
      </c>
      <c r="AG57" s="32">
        <v>1</v>
      </c>
      <c r="AH57" s="37">
        <v>81</v>
      </c>
      <c r="AI57" s="39">
        <f t="shared" si="61"/>
        <v>5.6250000000000001E-2</v>
      </c>
      <c r="AK57" s="9">
        <f t="shared" si="62"/>
        <v>0.70370370370370372</v>
      </c>
      <c r="AL57" s="9">
        <f t="shared" si="63"/>
        <v>0.41975308641975306</v>
      </c>
      <c r="AM57" s="6">
        <f t="shared" si="64"/>
        <v>2.308641975308642</v>
      </c>
      <c r="AN57" s="8">
        <f t="shared" si="65"/>
        <v>0.6292565057651166</v>
      </c>
      <c r="AO57" s="8">
        <f t="shared" si="66"/>
        <v>0.3707434942348834</v>
      </c>
      <c r="AP57" s="40">
        <f t="shared" si="67"/>
        <v>5099.666666666667</v>
      </c>
      <c r="AQ57" s="40">
        <f t="shared" si="68"/>
        <v>12.444444444444445</v>
      </c>
      <c r="AR57" s="40">
        <f t="shared" si="69"/>
        <v>23.209876543209877</v>
      </c>
      <c r="AS57" s="40"/>
      <c r="AT57" s="40">
        <f t="shared" si="70"/>
        <v>12823.506172839507</v>
      </c>
    </row>
    <row r="58" spans="1:46" ht="15" customHeight="1" x14ac:dyDescent="0.25">
      <c r="A58" s="6">
        <f t="shared" si="50"/>
        <v>5.7779570860788448E-3</v>
      </c>
      <c r="B58" s="7" t="s">
        <v>21</v>
      </c>
      <c r="C58" s="22" t="s">
        <v>40</v>
      </c>
      <c r="D58" s="13" t="str">
        <f t="shared" si="49"/>
        <v>Projectile Arc</v>
      </c>
      <c r="E58" s="4" t="s">
        <v>65</v>
      </c>
      <c r="F58" s="4" t="s">
        <v>66</v>
      </c>
      <c r="H58" s="32">
        <f t="shared" si="51"/>
        <v>6</v>
      </c>
      <c r="I58" s="8">
        <f t="shared" si="52"/>
        <v>0.83333333333333337</v>
      </c>
      <c r="J58" s="9">
        <f t="shared" si="53"/>
        <v>3.7352941176470589</v>
      </c>
      <c r="K58" s="40">
        <f t="shared" si="54"/>
        <v>6594</v>
      </c>
      <c r="L58" s="40">
        <f t="shared" si="55"/>
        <v>1999.1159420289855</v>
      </c>
      <c r="M58" s="40">
        <f t="shared" si="56"/>
        <v>295.71014492753625</v>
      </c>
      <c r="O58" s="10">
        <f t="shared" si="57"/>
        <v>4</v>
      </c>
      <c r="P58" s="10">
        <f t="shared" si="58"/>
        <v>-2</v>
      </c>
      <c r="Q58" s="10">
        <f t="shared" si="59"/>
        <v>-25</v>
      </c>
      <c r="R58" s="9">
        <f t="shared" si="60"/>
        <v>0</v>
      </c>
      <c r="T58" s="5" t="s">
        <v>187</v>
      </c>
      <c r="U58" s="32">
        <v>20404</v>
      </c>
      <c r="V58" s="32">
        <v>80</v>
      </c>
      <c r="W58" s="32">
        <v>34</v>
      </c>
      <c r="X58" s="37">
        <v>94</v>
      </c>
      <c r="Y58" s="37">
        <v>454986</v>
      </c>
      <c r="Z58" s="37">
        <v>424674</v>
      </c>
      <c r="AA58" s="37">
        <v>231698</v>
      </c>
      <c r="AB58" s="37">
        <v>0</v>
      </c>
      <c r="AC58" s="37">
        <v>137939</v>
      </c>
      <c r="AD58" s="37">
        <v>94280</v>
      </c>
      <c r="AE58" s="37">
        <v>333</v>
      </c>
      <c r="AF58" s="32">
        <v>5</v>
      </c>
      <c r="AG58" s="32">
        <v>1</v>
      </c>
      <c r="AH58" s="37">
        <v>69</v>
      </c>
      <c r="AI58" s="39">
        <f t="shared" si="61"/>
        <v>4.791666666666667E-2</v>
      </c>
      <c r="AK58" s="9">
        <f t="shared" si="62"/>
        <v>1.1594202898550725</v>
      </c>
      <c r="AL58" s="9">
        <f t="shared" si="63"/>
        <v>0.49275362318840582</v>
      </c>
      <c r="AM58" s="6">
        <f t="shared" si="64"/>
        <v>1.3623188405797102</v>
      </c>
      <c r="AN58" s="8">
        <f t="shared" si="65"/>
        <v>0.93337816987775446</v>
      </c>
      <c r="AO58" s="8">
        <f t="shared" si="66"/>
        <v>6.6621830122245526E-2</v>
      </c>
      <c r="AP58" s="40">
        <f t="shared" si="67"/>
        <v>3357.942028985507</v>
      </c>
      <c r="AQ58" s="40">
        <f t="shared" si="68"/>
        <v>4.8260869565217392</v>
      </c>
      <c r="AR58" s="40" t="str">
        <f t="shared" si="69"/>
        <v xml:space="preserve"> </v>
      </c>
      <c r="AS58" s="40"/>
      <c r="AT58" s="40">
        <f t="shared" si="70"/>
        <v>3365.4927536231885</v>
      </c>
    </row>
    <row r="59" spans="1:46" ht="15" customHeight="1" x14ac:dyDescent="0.25">
      <c r="A59" s="6">
        <f t="shared" si="50"/>
        <v>3.0339238547551153E-5</v>
      </c>
      <c r="B59" s="7" t="s">
        <v>11</v>
      </c>
      <c r="C59" s="22" t="s">
        <v>40</v>
      </c>
      <c r="D59" s="13" t="str">
        <f t="shared" si="49"/>
        <v>Hitscan Tracking</v>
      </c>
      <c r="E59" s="4" t="s">
        <v>64</v>
      </c>
      <c r="F59" s="4" t="s">
        <v>91</v>
      </c>
      <c r="H59" s="32">
        <f t="shared" si="51"/>
        <v>4</v>
      </c>
      <c r="I59" s="8">
        <f t="shared" si="52"/>
        <v>0.5</v>
      </c>
      <c r="J59" s="9">
        <f t="shared" si="53"/>
        <v>5.0625</v>
      </c>
      <c r="K59" s="40">
        <f t="shared" si="54"/>
        <v>7027.5348837209303</v>
      </c>
      <c r="L59" s="40">
        <f t="shared" si="55"/>
        <v>5685.8139534883721</v>
      </c>
      <c r="M59" s="40">
        <f t="shared" si="56"/>
        <v>317.81395348837208</v>
      </c>
      <c r="O59" s="10">
        <f t="shared" si="57"/>
        <v>6</v>
      </c>
      <c r="P59" s="10">
        <f t="shared" si="58"/>
        <v>3</v>
      </c>
      <c r="Q59" s="10">
        <f t="shared" si="59"/>
        <v>-33</v>
      </c>
      <c r="R59" s="9">
        <f t="shared" si="60"/>
        <v>0</v>
      </c>
      <c r="T59" s="5" t="s">
        <v>189</v>
      </c>
      <c r="U59" s="32">
        <v>13666</v>
      </c>
      <c r="V59" s="32">
        <v>43</v>
      </c>
      <c r="W59" s="32">
        <v>16</v>
      </c>
      <c r="X59" s="32">
        <v>76</v>
      </c>
      <c r="Y59" s="32">
        <v>302184</v>
      </c>
      <c r="Z59" s="32">
        <v>288483</v>
      </c>
      <c r="AA59" s="32">
        <v>115292</v>
      </c>
      <c r="AB59" s="32">
        <v>0</v>
      </c>
      <c r="AC59" s="32">
        <v>244490</v>
      </c>
      <c r="AD59" s="32">
        <v>66899</v>
      </c>
      <c r="AE59" s="32">
        <v>330</v>
      </c>
      <c r="AF59" s="32">
        <v>2</v>
      </c>
      <c r="AG59" s="32">
        <v>2</v>
      </c>
      <c r="AH59" s="37">
        <v>43</v>
      </c>
      <c r="AI59" s="39">
        <f t="shared" si="61"/>
        <v>2.9861111111111113E-2</v>
      </c>
      <c r="AK59" s="9">
        <f t="shared" si="62"/>
        <v>1</v>
      </c>
      <c r="AL59" s="9">
        <f t="shared" si="63"/>
        <v>0.37209302325581395</v>
      </c>
      <c r="AM59" s="6">
        <f t="shared" si="64"/>
        <v>1.7674418604651163</v>
      </c>
      <c r="AN59" s="8">
        <f t="shared" si="65"/>
        <v>0.95466007465650071</v>
      </c>
      <c r="AO59" s="8">
        <f t="shared" si="66"/>
        <v>4.5339925343499322E-2</v>
      </c>
      <c r="AP59" s="40">
        <f t="shared" si="67"/>
        <v>2681.2093023255816</v>
      </c>
      <c r="AQ59" s="40">
        <f t="shared" si="68"/>
        <v>7.6744186046511631</v>
      </c>
      <c r="AR59" s="40" t="str">
        <f t="shared" si="69"/>
        <v xml:space="preserve"> </v>
      </c>
      <c r="AS59" s="40"/>
      <c r="AT59" s="40">
        <f t="shared" si="70"/>
        <v>7241.604651162791</v>
      </c>
    </row>
    <row r="60" spans="1:46" ht="15" customHeight="1" x14ac:dyDescent="0.25">
      <c r="A60" s="6">
        <f t="shared" si="50"/>
        <v>43.289205915003684</v>
      </c>
      <c r="B60" s="7" t="s">
        <v>7</v>
      </c>
      <c r="C60" s="22" t="s">
        <v>40</v>
      </c>
      <c r="D60" s="13" t="str">
        <f t="shared" si="49"/>
        <v>Projectile Tracking</v>
      </c>
      <c r="E60" s="4" t="s">
        <v>65</v>
      </c>
      <c r="F60" s="4" t="s">
        <v>91</v>
      </c>
      <c r="H60" s="32">
        <f t="shared" si="51"/>
        <v>27</v>
      </c>
      <c r="I60" s="8">
        <f t="shared" si="52"/>
        <v>0.59259259259259256</v>
      </c>
      <c r="J60" s="9">
        <f t="shared" si="53"/>
        <v>3.7944444444444443</v>
      </c>
      <c r="K60" s="40">
        <f t="shared" si="54"/>
        <v>3999.9230769230771</v>
      </c>
      <c r="L60" s="40">
        <f t="shared" si="55"/>
        <v>6217.2136752136748</v>
      </c>
      <c r="M60" s="40">
        <f t="shared" si="56"/>
        <v>384.61538461538464</v>
      </c>
      <c r="O60" s="10">
        <f t="shared" si="57"/>
        <v>10</v>
      </c>
      <c r="P60" s="10">
        <f t="shared" si="58"/>
        <v>10</v>
      </c>
      <c r="Q60" s="10">
        <f t="shared" si="59"/>
        <v>-71</v>
      </c>
      <c r="R60" s="9">
        <f t="shared" si="60"/>
        <v>0</v>
      </c>
      <c r="T60" s="5" t="s">
        <v>188</v>
      </c>
      <c r="U60" s="32">
        <v>90000</v>
      </c>
      <c r="V60" s="32">
        <v>139</v>
      </c>
      <c r="W60" s="32">
        <v>90</v>
      </c>
      <c r="X60" s="37">
        <v>405</v>
      </c>
      <c r="Y60" s="37">
        <v>935982</v>
      </c>
      <c r="Z60" s="37">
        <v>822418</v>
      </c>
      <c r="AA60" s="37">
        <v>992497</v>
      </c>
      <c r="AB60" s="37">
        <v>0</v>
      </c>
      <c r="AC60" s="37">
        <v>1454828</v>
      </c>
      <c r="AD60" s="37">
        <v>412703</v>
      </c>
      <c r="AE60" s="37">
        <v>1155</v>
      </c>
      <c r="AF60" s="32">
        <v>16</v>
      </c>
      <c r="AG60" s="32">
        <v>11</v>
      </c>
      <c r="AH60" s="37">
        <v>234</v>
      </c>
      <c r="AI60" s="39">
        <f t="shared" si="61"/>
        <v>0.16250000000000001</v>
      </c>
      <c r="AK60" s="9">
        <f t="shared" si="62"/>
        <v>0.59401709401709402</v>
      </c>
      <c r="AL60" s="9">
        <f t="shared" si="63"/>
        <v>0.38461538461538464</v>
      </c>
      <c r="AM60" s="6">
        <f t="shared" si="64"/>
        <v>1.7307692307692308</v>
      </c>
      <c r="AN60" s="8">
        <f t="shared" si="65"/>
        <v>0.87866860687491855</v>
      </c>
      <c r="AO60" s="8">
        <f t="shared" si="66"/>
        <v>0.12133139312508147</v>
      </c>
      <c r="AP60" s="40">
        <f t="shared" si="67"/>
        <v>4241.4401709401709</v>
      </c>
      <c r="AQ60" s="40">
        <f t="shared" si="68"/>
        <v>4.9358974358974361</v>
      </c>
      <c r="AR60" s="40" t="str">
        <f t="shared" si="69"/>
        <v xml:space="preserve"> </v>
      </c>
      <c r="AS60" s="40"/>
      <c r="AT60" s="40">
        <f t="shared" si="70"/>
        <v>7980.901709401709</v>
      </c>
    </row>
    <row r="61" spans="1:46" ht="15" customHeight="1" x14ac:dyDescent="0.25">
      <c r="A61" s="6" t="str">
        <f t="shared" si="50"/>
        <v xml:space="preserve"> </v>
      </c>
      <c r="B61" s="7" t="s">
        <v>51</v>
      </c>
      <c r="C61" s="22" t="s">
        <v>40</v>
      </c>
      <c r="D61" s="13" t="str">
        <f t="shared" si="49"/>
        <v>Hitscan Tracking</v>
      </c>
      <c r="E61" s="4" t="s">
        <v>64</v>
      </c>
      <c r="F61" s="4" t="s">
        <v>91</v>
      </c>
      <c r="H61" s="32" t="str">
        <f t="shared" si="51"/>
        <v xml:space="preserve"> </v>
      </c>
      <c r="I61" s="8" t="str">
        <f t="shared" si="52"/>
        <v/>
      </c>
      <c r="J61" s="9" t="str">
        <f t="shared" si="53"/>
        <v xml:space="preserve"> </v>
      </c>
      <c r="K61" s="40" t="str">
        <f t="shared" si="54"/>
        <v xml:space="preserve"> </v>
      </c>
      <c r="L61" s="40" t="str">
        <f t="shared" si="55"/>
        <v xml:space="preserve"> </v>
      </c>
      <c r="M61" s="40" t="str">
        <f t="shared" si="56"/>
        <v xml:space="preserve"> </v>
      </c>
      <c r="O61" s="10" t="str">
        <f t="shared" si="57"/>
        <v xml:space="preserve"> </v>
      </c>
      <c r="P61" s="10" t="str">
        <f t="shared" si="58"/>
        <v xml:space="preserve"> </v>
      </c>
      <c r="Q61" s="10" t="str">
        <f t="shared" si="59"/>
        <v xml:space="preserve"> </v>
      </c>
      <c r="R61" s="9" t="e">
        <f t="shared" si="60"/>
        <v>#VALUE!</v>
      </c>
      <c r="X61" s="37"/>
      <c r="Y61" s="37"/>
      <c r="Z61" s="37"/>
      <c r="AA61" s="37"/>
      <c r="AB61" s="37"/>
      <c r="AC61" s="37"/>
      <c r="AD61" s="37"/>
      <c r="AE61" s="37"/>
      <c r="AH61" s="37"/>
      <c r="AI61" s="39" t="str">
        <f t="shared" si="61"/>
        <v xml:space="preserve"> </v>
      </c>
      <c r="AK61" s="9" t="str">
        <f t="shared" si="62"/>
        <v xml:space="preserve"> </v>
      </c>
      <c r="AL61" s="9" t="str">
        <f t="shared" si="63"/>
        <v xml:space="preserve"> </v>
      </c>
      <c r="AM61" s="6" t="str">
        <f t="shared" si="64"/>
        <v xml:space="preserve"> </v>
      </c>
      <c r="AN61" s="8" t="str">
        <f t="shared" si="65"/>
        <v xml:space="preserve"> </v>
      </c>
      <c r="AO61" s="8" t="str">
        <f t="shared" si="66"/>
        <v xml:space="preserve"> </v>
      </c>
      <c r="AP61" s="40" t="str">
        <f t="shared" si="67"/>
        <v xml:space="preserve"> </v>
      </c>
      <c r="AQ61" s="40" t="str">
        <f t="shared" si="68"/>
        <v xml:space="preserve"> </v>
      </c>
      <c r="AR61" s="40" t="str">
        <f t="shared" si="69"/>
        <v xml:space="preserve"> </v>
      </c>
      <c r="AS61" s="40"/>
      <c r="AT61" s="40" t="str">
        <f t="shared" si="70"/>
        <v xml:space="preserve"> </v>
      </c>
    </row>
    <row r="62" spans="1:46" ht="15" customHeight="1" x14ac:dyDescent="0.25">
      <c r="A62" s="6" t="str">
        <f t="shared" si="50"/>
        <v xml:space="preserve"> </v>
      </c>
      <c r="B62" s="7" t="s">
        <v>23</v>
      </c>
      <c r="C62" s="22" t="s">
        <v>40</v>
      </c>
      <c r="D62" s="13" t="str">
        <f t="shared" si="49"/>
        <v>Hitscan Repeater</v>
      </c>
      <c r="E62" s="4" t="s">
        <v>64</v>
      </c>
      <c r="F62" s="4" t="s">
        <v>63</v>
      </c>
      <c r="H62" s="32" t="str">
        <f t="shared" si="51"/>
        <v xml:space="preserve"> </v>
      </c>
      <c r="I62" s="8" t="str">
        <f t="shared" si="52"/>
        <v/>
      </c>
      <c r="J62" s="9" t="str">
        <f t="shared" si="53"/>
        <v xml:space="preserve"> </v>
      </c>
      <c r="K62" s="40" t="str">
        <f t="shared" si="54"/>
        <v xml:space="preserve"> </v>
      </c>
      <c r="L62" s="40" t="str">
        <f t="shared" si="55"/>
        <v xml:space="preserve"> </v>
      </c>
      <c r="M62" s="40" t="str">
        <f t="shared" si="56"/>
        <v xml:space="preserve"> </v>
      </c>
      <c r="O62" s="10" t="str">
        <f t="shared" si="57"/>
        <v xml:space="preserve"> </v>
      </c>
      <c r="P62" s="10" t="str">
        <f t="shared" si="58"/>
        <v xml:space="preserve"> </v>
      </c>
      <c r="Q62" s="10" t="str">
        <f t="shared" si="59"/>
        <v xml:space="preserve"> </v>
      </c>
      <c r="R62" s="9" t="e">
        <f t="shared" si="60"/>
        <v>#VALUE!</v>
      </c>
      <c r="X62" s="37"/>
      <c r="Y62" s="37"/>
      <c r="Z62" s="37"/>
      <c r="AA62" s="37"/>
      <c r="AB62" s="37"/>
      <c r="AC62" s="37"/>
      <c r="AD62" s="37"/>
      <c r="AE62" s="37"/>
      <c r="AH62" s="37"/>
      <c r="AI62" s="39" t="str">
        <f t="shared" si="61"/>
        <v xml:space="preserve"> </v>
      </c>
      <c r="AK62" s="9" t="str">
        <f t="shared" si="62"/>
        <v xml:space="preserve"> </v>
      </c>
      <c r="AL62" s="9" t="str">
        <f t="shared" si="63"/>
        <v xml:space="preserve"> </v>
      </c>
      <c r="AM62" s="6" t="str">
        <f t="shared" si="64"/>
        <v xml:space="preserve"> </v>
      </c>
      <c r="AN62" s="8" t="str">
        <f t="shared" si="65"/>
        <v xml:space="preserve"> </v>
      </c>
      <c r="AO62" s="8" t="str">
        <f t="shared" si="66"/>
        <v xml:space="preserve"> </v>
      </c>
      <c r="AP62" s="40" t="str">
        <f t="shared" si="67"/>
        <v xml:space="preserve"> </v>
      </c>
      <c r="AQ62" s="40" t="str">
        <f t="shared" si="68"/>
        <v xml:space="preserve"> </v>
      </c>
      <c r="AR62" s="40" t="str">
        <f t="shared" si="69"/>
        <v xml:space="preserve"> </v>
      </c>
      <c r="AS62" s="40"/>
      <c r="AT62" s="40" t="str">
        <f t="shared" si="70"/>
        <v xml:space="preserve"> </v>
      </c>
    </row>
    <row r="63" spans="1:46" ht="15" customHeight="1" x14ac:dyDescent="0.25">
      <c r="A63" s="6" t="str">
        <f t="shared" si="50"/>
        <v xml:space="preserve"> </v>
      </c>
      <c r="B63" s="7" t="s">
        <v>49</v>
      </c>
      <c r="C63" s="22" t="s">
        <v>40</v>
      </c>
      <c r="D63" s="13" t="str">
        <f t="shared" si="49"/>
        <v>Projectile Repeater</v>
      </c>
      <c r="E63" s="4" t="s">
        <v>65</v>
      </c>
      <c r="F63" s="4" t="s">
        <v>63</v>
      </c>
      <c r="H63" s="32" t="str">
        <f t="shared" si="51"/>
        <v xml:space="preserve"> </v>
      </c>
      <c r="I63" s="8" t="str">
        <f t="shared" si="52"/>
        <v/>
      </c>
      <c r="J63" s="9" t="str">
        <f t="shared" si="53"/>
        <v xml:space="preserve"> </v>
      </c>
      <c r="K63" s="40" t="str">
        <f t="shared" si="54"/>
        <v xml:space="preserve"> </v>
      </c>
      <c r="L63" s="40" t="str">
        <f t="shared" si="55"/>
        <v xml:space="preserve"> </v>
      </c>
      <c r="M63" s="40" t="str">
        <f t="shared" si="56"/>
        <v xml:space="preserve"> </v>
      </c>
      <c r="O63" s="10" t="str">
        <f t="shared" si="57"/>
        <v xml:space="preserve"> </v>
      </c>
      <c r="P63" s="10" t="str">
        <f t="shared" si="58"/>
        <v xml:space="preserve"> </v>
      </c>
      <c r="Q63" s="10" t="str">
        <f t="shared" si="59"/>
        <v xml:space="preserve"> </v>
      </c>
      <c r="R63" s="9" t="e">
        <f t="shared" si="60"/>
        <v>#VALUE!</v>
      </c>
      <c r="X63" s="37"/>
      <c r="Y63" s="37"/>
      <c r="Z63" s="37"/>
      <c r="AA63" s="37"/>
      <c r="AB63" s="37"/>
      <c r="AC63" s="37"/>
      <c r="AD63" s="37"/>
      <c r="AE63" s="37"/>
      <c r="AH63" s="37"/>
      <c r="AI63" s="39" t="str">
        <f t="shared" si="61"/>
        <v xml:space="preserve"> </v>
      </c>
      <c r="AK63" s="9" t="str">
        <f t="shared" si="62"/>
        <v xml:space="preserve"> </v>
      </c>
      <c r="AL63" s="9" t="str">
        <f t="shared" si="63"/>
        <v xml:space="preserve"> </v>
      </c>
      <c r="AM63" s="6" t="str">
        <f t="shared" si="64"/>
        <v xml:space="preserve"> </v>
      </c>
      <c r="AN63" s="8" t="str">
        <f t="shared" si="65"/>
        <v xml:space="preserve"> </v>
      </c>
      <c r="AO63" s="8" t="str">
        <f t="shared" si="66"/>
        <v xml:space="preserve"> </v>
      </c>
      <c r="AP63" s="40" t="str">
        <f t="shared" si="67"/>
        <v xml:space="preserve"> </v>
      </c>
      <c r="AQ63" s="40" t="str">
        <f t="shared" si="68"/>
        <v xml:space="preserve"> </v>
      </c>
      <c r="AR63" s="40" t="str">
        <f t="shared" si="69"/>
        <v xml:space="preserve"> </v>
      </c>
      <c r="AS63" s="40"/>
      <c r="AT63" s="40" t="str">
        <f t="shared" si="70"/>
        <v xml:space="preserve"> </v>
      </c>
    </row>
    <row r="64" spans="1:46" ht="15" customHeight="1" x14ac:dyDescent="0.25">
      <c r="A64" s="6" t="str">
        <f t="shared" si="50"/>
        <v xml:space="preserve"> </v>
      </c>
      <c r="B64" s="7" t="s">
        <v>52</v>
      </c>
      <c r="C64" s="22" t="s">
        <v>40</v>
      </c>
      <c r="D64" s="13" t="str">
        <f t="shared" si="49"/>
        <v>Projectile Arc</v>
      </c>
      <c r="E64" s="4" t="s">
        <v>65</v>
      </c>
      <c r="F64" s="4" t="s">
        <v>66</v>
      </c>
      <c r="H64" s="32" t="str">
        <f t="shared" si="51"/>
        <v xml:space="preserve"> </v>
      </c>
      <c r="I64" s="8" t="str">
        <f t="shared" si="52"/>
        <v/>
      </c>
      <c r="J64" s="9" t="str">
        <f t="shared" si="53"/>
        <v xml:space="preserve"> </v>
      </c>
      <c r="K64" s="40" t="str">
        <f t="shared" si="54"/>
        <v xml:space="preserve"> </v>
      </c>
      <c r="L64" s="40" t="str">
        <f t="shared" si="55"/>
        <v xml:space="preserve"> </v>
      </c>
      <c r="M64" s="40" t="str">
        <f t="shared" si="56"/>
        <v xml:space="preserve"> </v>
      </c>
      <c r="O64" s="10" t="str">
        <f t="shared" si="57"/>
        <v xml:space="preserve"> </v>
      </c>
      <c r="P64" s="10" t="str">
        <f t="shared" si="58"/>
        <v xml:space="preserve"> </v>
      </c>
      <c r="Q64" s="10" t="str">
        <f t="shared" si="59"/>
        <v xml:space="preserve"> </v>
      </c>
      <c r="R64" s="9" t="e">
        <f t="shared" si="60"/>
        <v>#VALUE!</v>
      </c>
      <c r="X64" s="37"/>
      <c r="Y64" s="37"/>
      <c r="Z64" s="37"/>
      <c r="AA64" s="37"/>
      <c r="AB64" s="37"/>
      <c r="AC64" s="37"/>
      <c r="AD64" s="37"/>
      <c r="AE64" s="37"/>
      <c r="AH64" s="37"/>
      <c r="AI64" s="39" t="str">
        <f t="shared" si="61"/>
        <v xml:space="preserve"> </v>
      </c>
      <c r="AK64" s="9" t="str">
        <f t="shared" si="62"/>
        <v xml:space="preserve"> </v>
      </c>
      <c r="AL64" s="9" t="str">
        <f t="shared" si="63"/>
        <v xml:space="preserve"> </v>
      </c>
      <c r="AM64" s="6" t="str">
        <f t="shared" si="64"/>
        <v xml:space="preserve"> </v>
      </c>
      <c r="AN64" s="8" t="str">
        <f t="shared" si="65"/>
        <v xml:space="preserve"> </v>
      </c>
      <c r="AO64" s="8" t="str">
        <f t="shared" si="66"/>
        <v xml:space="preserve"> </v>
      </c>
      <c r="AP64" s="40" t="str">
        <f t="shared" si="67"/>
        <v xml:space="preserve"> </v>
      </c>
      <c r="AQ64" s="40" t="str">
        <f t="shared" si="68"/>
        <v xml:space="preserve"> </v>
      </c>
      <c r="AR64" s="40" t="str">
        <f t="shared" si="69"/>
        <v xml:space="preserve"> </v>
      </c>
      <c r="AS64" s="40"/>
      <c r="AT64" s="40" t="str">
        <f t="shared" si="70"/>
        <v xml:space="preserve"> </v>
      </c>
    </row>
  </sheetData>
  <autoFilter ref="A15:AT15" xr:uid="{6BD8CC1A-3F48-4301-B6E5-53F6158EDE9E}">
    <sortState xmlns:xlrd2="http://schemas.microsoft.com/office/spreadsheetml/2017/richdata2" ref="A16:AT64">
      <sortCondition ref="C15"/>
    </sortState>
  </autoFilter>
  <mergeCells count="2">
    <mergeCell ref="A1:A6"/>
    <mergeCell ref="A8:A14"/>
  </mergeCells>
  <conditionalFormatting sqref="A16:A64">
    <cfRule type="colorScale" priority="47">
      <colorScale>
        <cfvo type="min"/>
        <cfvo type="max"/>
        <color rgb="FFFFEF9C"/>
        <color rgb="FF63BE7B"/>
      </colorScale>
    </cfRule>
  </conditionalFormatting>
  <conditionalFormatting sqref="H16:H64">
    <cfRule type="colorScale" priority="46">
      <colorScale>
        <cfvo type="min"/>
        <cfvo type="formula" val="$F$2"/>
        <color rgb="FFFFEF9C"/>
        <color rgb="FF63BE7B"/>
      </colorScale>
    </cfRule>
  </conditionalFormatting>
  <conditionalFormatting sqref="I16:I64">
    <cfRule type="colorScale" priority="45">
      <colorScale>
        <cfvo type="min"/>
        <cfvo type="formula" val="$D$2"/>
        <color rgb="FFFFEF9C"/>
        <color rgb="FF63BE7B"/>
      </colorScale>
    </cfRule>
  </conditionalFormatting>
  <conditionalFormatting sqref="J16:J64">
    <cfRule type="colorScale" priority="44">
      <colorScale>
        <cfvo type="min"/>
        <cfvo type="formula" val="$E$2"/>
        <color rgb="FFFFEF9C"/>
        <color rgb="FF63BE7B"/>
      </colorScale>
    </cfRule>
  </conditionalFormatting>
  <conditionalFormatting sqref="O16:O64">
    <cfRule type="colorScale" priority="43">
      <colorScale>
        <cfvo type="min"/>
        <cfvo type="max"/>
        <color rgb="FF63BE7B"/>
        <color rgb="FFFFEF9C"/>
      </colorScale>
    </cfRule>
  </conditionalFormatting>
  <conditionalFormatting sqref="Q16:Q64">
    <cfRule type="colorScale" priority="42">
      <colorScale>
        <cfvo type="min"/>
        <cfvo type="max"/>
        <color rgb="FF63BE7B"/>
        <color rgb="FFFFEF9C"/>
      </colorScale>
    </cfRule>
  </conditionalFormatting>
  <conditionalFormatting sqref="R16:R64">
    <cfRule type="colorScale" priority="41">
      <colorScale>
        <cfvo type="min"/>
        <cfvo type="max"/>
        <color rgb="FF63BE7B"/>
        <color rgb="FFFFEF9C"/>
      </colorScale>
    </cfRule>
  </conditionalFormatting>
  <conditionalFormatting sqref="B3:B7">
    <cfRule type="colorScale" priority="40">
      <colorScale>
        <cfvo type="min"/>
        <cfvo type="max"/>
        <color rgb="FFFFEF9C"/>
        <color rgb="FF63BE7B"/>
      </colorScale>
    </cfRule>
  </conditionalFormatting>
  <conditionalFormatting sqref="B8:B14">
    <cfRule type="colorScale" priority="36">
      <colorScale>
        <cfvo type="min"/>
        <cfvo type="max"/>
        <color rgb="FFFFEF9C"/>
        <color rgb="FF63BE7B"/>
      </colorScale>
    </cfRule>
  </conditionalFormatting>
  <conditionalFormatting sqref="H3:H7">
    <cfRule type="colorScale" priority="39">
      <colorScale>
        <cfvo type="min"/>
        <cfvo type="max"/>
        <color rgb="FFFFEF9C"/>
        <color rgb="FF63BE7B"/>
      </colorScale>
    </cfRule>
  </conditionalFormatting>
  <conditionalFormatting sqref="I3:I7">
    <cfRule type="colorScale" priority="38">
      <colorScale>
        <cfvo type="min"/>
        <cfvo type="max"/>
        <color rgb="FFFFEF9C"/>
        <color rgb="FF63BE7B"/>
      </colorScale>
    </cfRule>
  </conditionalFormatting>
  <conditionalFormatting sqref="J3:J7">
    <cfRule type="colorScale" priority="37">
      <colorScale>
        <cfvo type="min"/>
        <cfvo type="max"/>
        <color rgb="FFFFEF9C"/>
        <color rgb="FF63BE7B"/>
      </colorScale>
    </cfRule>
  </conditionalFormatting>
  <conditionalFormatting sqref="B3:B6">
    <cfRule type="colorScale" priority="35">
      <colorScale>
        <cfvo type="min"/>
        <cfvo type="max"/>
        <color rgb="FFFFEF9C"/>
        <color rgb="FF63BE7B"/>
      </colorScale>
    </cfRule>
  </conditionalFormatting>
  <conditionalFormatting sqref="B16:B64">
    <cfRule type="expression" dxfId="9" priority="34">
      <formula>IF(H16=" "," ",AND(I16&gt;=SUMIF($C$3:$C$6,$C16,$D$3:$D$6),J16&gt;=SUMIF($C$3:$C$6,$C16,$E$3:$E$6),H16&gt;=SUMIF($C$3:$C$6,$C16,$F$3:$F$6)))</formula>
    </cfRule>
  </conditionalFormatting>
  <conditionalFormatting sqref="AI16:AI64">
    <cfRule type="colorScale" priority="33">
      <colorScale>
        <cfvo type="min"/>
        <cfvo type="max"/>
        <color rgb="FFFFEF9C"/>
        <color rgb="FF63BE7B"/>
      </colorScale>
    </cfRule>
  </conditionalFormatting>
  <conditionalFormatting sqref="K16:K31">
    <cfRule type="colorScale" priority="32">
      <colorScale>
        <cfvo type="min"/>
        <cfvo type="max"/>
        <color rgb="FFFFEF9C"/>
        <color rgb="FF63BE7B"/>
      </colorScale>
    </cfRule>
  </conditionalFormatting>
  <conditionalFormatting sqref="K32:K42">
    <cfRule type="colorScale" priority="31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30">
      <colorScale>
        <cfvo type="min"/>
        <cfvo type="max"/>
        <color rgb="FFFFEF9C"/>
        <color rgb="FF63BE7B"/>
      </colorScale>
    </cfRule>
  </conditionalFormatting>
  <conditionalFormatting sqref="L54:L64">
    <cfRule type="colorScale" priority="29">
      <colorScale>
        <cfvo type="min"/>
        <cfvo type="max"/>
        <color rgb="FFFFEF9C"/>
        <color rgb="FF63BE7B"/>
      </colorScale>
    </cfRule>
  </conditionalFormatting>
  <conditionalFormatting sqref="K54:K64">
    <cfRule type="colorScale" priority="28">
      <colorScale>
        <cfvo type="min"/>
        <cfvo type="max"/>
        <color rgb="FFFFEF9C"/>
        <color rgb="FF63BE7B"/>
      </colorScale>
    </cfRule>
  </conditionalFormatting>
  <conditionalFormatting sqref="M16:M31">
    <cfRule type="colorScale" priority="27">
      <colorScale>
        <cfvo type="min"/>
        <cfvo type="max"/>
        <color rgb="FFFFEF9C"/>
        <color rgb="FF63BE7B"/>
      </colorScale>
    </cfRule>
  </conditionalFormatting>
  <conditionalFormatting sqref="M32:M42">
    <cfRule type="colorScale" priority="25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:M53">
    <cfRule type="colorScale" priority="24">
      <colorScale>
        <cfvo type="min"/>
        <cfvo type="max"/>
        <color rgb="FFFFEF9C"/>
        <color rgb="FF63BE7B"/>
      </colorScale>
    </cfRule>
  </conditionalFormatting>
  <conditionalFormatting sqref="M54:M64">
    <cfRule type="colorScale" priority="23">
      <colorScale>
        <cfvo type="min"/>
        <cfvo type="max"/>
        <color rgb="FFFFEF9C"/>
        <color rgb="FF63BE7B"/>
      </colorScale>
    </cfRule>
  </conditionalFormatting>
  <conditionalFormatting sqref="AK16:AK31">
    <cfRule type="colorScale" priority="22">
      <colorScale>
        <cfvo type="min"/>
        <cfvo type="max"/>
        <color rgb="FFFFEF9C"/>
        <color rgb="FF63BE7B"/>
      </colorScale>
    </cfRule>
  </conditionalFormatting>
  <conditionalFormatting sqref="AL16:AL31">
    <cfRule type="colorScale" priority="21">
      <colorScale>
        <cfvo type="min"/>
        <cfvo type="max"/>
        <color rgb="FF63BE7B"/>
        <color rgb="FFFFEF9C"/>
      </colorScale>
    </cfRule>
  </conditionalFormatting>
  <conditionalFormatting sqref="AK32:AK42">
    <cfRule type="colorScale" priority="20">
      <colorScale>
        <cfvo type="min"/>
        <cfvo type="max"/>
        <color rgb="FFFFEF9C"/>
        <color rgb="FF63BE7B"/>
      </colorScale>
    </cfRule>
  </conditionalFormatting>
  <conditionalFormatting sqref="AL32:AL42">
    <cfRule type="colorScale" priority="19">
      <colorScale>
        <cfvo type="min"/>
        <cfvo type="max"/>
        <color rgb="FFFFEF9C"/>
        <color rgb="FF63BE7B"/>
      </colorScale>
    </cfRule>
  </conditionalFormatting>
  <conditionalFormatting sqref="AL43:AL53">
    <cfRule type="colorScale" priority="18">
      <colorScale>
        <cfvo type="min"/>
        <cfvo type="max"/>
        <color rgb="FF63BE7B"/>
        <color rgb="FFFFEF9C"/>
      </colorScale>
    </cfRule>
  </conditionalFormatting>
  <conditionalFormatting sqref="AL54:AL64">
    <cfRule type="colorScale" priority="17">
      <colorScale>
        <cfvo type="min"/>
        <cfvo type="max"/>
        <color rgb="FF63BE7B"/>
        <color rgb="FFFFEF9C"/>
      </colorScale>
    </cfRule>
  </conditionalFormatting>
  <conditionalFormatting sqref="AM54:AM64">
    <cfRule type="colorScale" priority="16">
      <colorScale>
        <cfvo type="min"/>
        <cfvo type="max"/>
        <color rgb="FFFFEF9C"/>
        <color rgb="FF63BE7B"/>
      </colorScale>
    </cfRule>
  </conditionalFormatting>
  <conditionalFormatting sqref="AP16:AP31">
    <cfRule type="colorScale" priority="15">
      <colorScale>
        <cfvo type="min"/>
        <cfvo type="max"/>
        <color rgb="FF63BE7B"/>
        <color rgb="FFFFEF9C"/>
      </colorScale>
    </cfRule>
  </conditionalFormatting>
  <conditionalFormatting sqref="AP32:AP42">
    <cfRule type="colorScale" priority="14">
      <colorScale>
        <cfvo type="min"/>
        <cfvo type="max"/>
        <color rgb="FF63BE7B"/>
        <color rgb="FFFFEF9C"/>
      </colorScale>
    </cfRule>
  </conditionalFormatting>
  <conditionalFormatting sqref="AP54:AP64">
    <cfRule type="colorScale" priority="13">
      <colorScale>
        <cfvo type="min"/>
        <cfvo type="max"/>
        <color rgb="FF63BE7B"/>
        <color rgb="FFFFEF9C"/>
      </colorScale>
    </cfRule>
  </conditionalFormatting>
  <conditionalFormatting sqref="AT54:AT64">
    <cfRule type="colorScale" priority="12">
      <colorScale>
        <cfvo type="min"/>
        <cfvo type="max"/>
        <color rgb="FFFFEF9C"/>
        <color rgb="FF63BE7B"/>
      </colorScale>
    </cfRule>
  </conditionalFormatting>
  <conditionalFormatting sqref="AI3:AI6">
    <cfRule type="colorScale" priority="11">
      <colorScale>
        <cfvo type="min"/>
        <cfvo type="max"/>
        <color rgb="FFFFEF9C"/>
        <color rgb="FF63BE7B"/>
      </colorScale>
    </cfRule>
  </conditionalFormatting>
  <conditionalFormatting sqref="O3:O6">
    <cfRule type="colorScale" priority="10">
      <colorScale>
        <cfvo type="min"/>
        <cfvo type="max"/>
        <color rgb="FF63BE7B"/>
        <color rgb="FFFFEF9C"/>
      </colorScale>
    </cfRule>
  </conditionalFormatting>
  <conditionalFormatting sqref="Q3:Q6">
    <cfRule type="colorScale" priority="9">
      <colorScale>
        <cfvo type="min"/>
        <cfvo type="max"/>
        <color rgb="FF63BE7B"/>
        <color rgb="FFFFEF9C"/>
      </colorScale>
    </cfRule>
  </conditionalFormatting>
  <conditionalFormatting sqref="R3:R6">
    <cfRule type="colorScale" priority="8">
      <colorScale>
        <cfvo type="min"/>
        <cfvo type="max"/>
        <color rgb="FF63BE7B"/>
        <color rgb="FFFFEF9C"/>
      </colorScale>
    </cfRule>
  </conditionalFormatting>
  <conditionalFormatting sqref="I8:I14">
    <cfRule type="colorScale" priority="7">
      <colorScale>
        <cfvo type="min"/>
        <cfvo type="max"/>
        <color rgb="FFFFEF9C"/>
        <color rgb="FF63BE7B"/>
      </colorScale>
    </cfRule>
  </conditionalFormatting>
  <conditionalFormatting sqref="J8:J14">
    <cfRule type="colorScale" priority="6">
      <colorScale>
        <cfvo type="min"/>
        <cfvo type="max"/>
        <color rgb="FFFFEF9C"/>
        <color rgb="FF63BE7B"/>
      </colorScale>
    </cfRule>
  </conditionalFormatting>
  <conditionalFormatting sqref="H8:H14">
    <cfRule type="colorScale" priority="5">
      <colorScale>
        <cfvo type="min"/>
        <cfvo type="max"/>
        <color rgb="FFFFEF9C"/>
        <color rgb="FF63BE7B"/>
      </colorScale>
    </cfRule>
  </conditionalFormatting>
  <conditionalFormatting sqref="O8:O14">
    <cfRule type="colorScale" priority="4">
      <colorScale>
        <cfvo type="min"/>
        <cfvo type="max"/>
        <color rgb="FF63BE7B"/>
        <color rgb="FFFFEF9C"/>
      </colorScale>
    </cfRule>
  </conditionalFormatting>
  <conditionalFormatting sqref="Q8:Q14">
    <cfRule type="colorScale" priority="3">
      <colorScale>
        <cfvo type="min"/>
        <cfvo type="max"/>
        <color rgb="FF63BE7B"/>
        <color rgb="FFFFEF9C"/>
      </colorScale>
    </cfRule>
  </conditionalFormatting>
  <conditionalFormatting sqref="R8:R14">
    <cfRule type="colorScale" priority="2">
      <colorScale>
        <cfvo type="min"/>
        <cfvo type="max"/>
        <color rgb="FF63BE7B"/>
        <color rgb="FFFFEF9C"/>
      </colorScale>
    </cfRule>
  </conditionalFormatting>
  <conditionalFormatting sqref="AI8:AI14">
    <cfRule type="colorScale" priority="1">
      <colorScale>
        <cfvo type="min"/>
        <cfvo type="max"/>
        <color rgb="FFFFEF9C"/>
        <color rgb="FF63BE7B"/>
      </colorScale>
    </cfRule>
  </conditionalFormatting>
  <hyperlinks>
    <hyperlink ref="A1" r:id="rId1" xr:uid="{D02B695B-DBB0-47FD-A1D9-FD6A7D5EE6D4}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WebData">
                <anchor moveWithCells="1" siz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8" operator="containsText" id="{3EB34F47-A806-488B-831E-ED79AC2538C5}">
            <xm:f>NOT(ISERROR(SEARCH($C$6,C1)))</xm:f>
            <xm:f>$C$6</xm:f>
            <x14:dxf>
              <fill>
                <patternFill>
                  <bgColor theme="4" tint="0.79998168889431442"/>
                </patternFill>
              </fill>
              <border>
                <left style="thin">
                  <color theme="8"/>
                </left>
                <right style="thin">
                  <color theme="8"/>
                </right>
                <top style="thin">
                  <color theme="8"/>
                </top>
                <bottom style="thin">
                  <color theme="8"/>
                </bottom>
                <vertical/>
                <horizontal/>
              </border>
            </x14:dxf>
          </x14:cfRule>
          <x14:cfRule type="containsText" priority="49" operator="containsText" id="{40905F54-0580-4880-B335-80EA95DBF281}">
            <xm:f>NOT(ISERROR(SEARCH($C$5,C1)))</xm:f>
            <xm:f>$C$5</xm:f>
            <x14:dxf>
              <fill>
                <patternFill>
                  <bgColor rgb="FFE1A3DE"/>
                </patternFill>
              </fill>
              <border>
                <left style="thin">
                  <color rgb="FF7030A0"/>
                </left>
                <right style="thin">
                  <color rgb="FF7030A0"/>
                </right>
                <top style="thin">
                  <color rgb="FF7030A0"/>
                </top>
                <bottom style="thin">
                  <color rgb="FF7030A0"/>
                </bottom>
                <vertical/>
                <horizontal/>
              </border>
            </x14:dxf>
          </x14:cfRule>
          <x14:cfRule type="containsText" priority="50" operator="containsText" id="{1F5E4E2D-B3D1-4DF8-98B0-D10BE0DF44D6}">
            <xm:f>NOT(ISERROR(SEARCH($C$4,C1)))</xm:f>
            <xm:f>$C$4</xm:f>
            <x14:dxf>
              <fill>
                <patternFill>
                  <bgColor theme="9" tint="0.59996337778862885"/>
                </patternFill>
              </fill>
              <border>
                <left style="thin">
                  <color theme="9"/>
                </left>
                <right style="thin">
                  <color theme="9"/>
                </right>
                <top style="thin">
                  <color theme="9"/>
                </top>
                <bottom style="thin">
                  <color theme="9"/>
                </bottom>
                <vertical/>
                <horizontal/>
              </border>
            </x14:dxf>
          </x14:cfRule>
          <x14:cfRule type="containsText" priority="51" operator="containsText" id="{A9B68C29-7DE9-40E6-9185-B3B16D3A0B6C}">
            <xm:f>NOT(ISERROR(SEARCH($C$3,C1)))</xm:f>
            <xm:f>$C$3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5"/>
                </left>
                <right style="thin">
                  <color theme="5"/>
                </right>
                <top style="thin">
                  <color theme="5"/>
                </top>
                <bottom style="thin">
                  <color theme="5"/>
                </bottom>
                <vertical/>
                <horizontal/>
              </border>
            </x14:dxf>
          </x14:cfRule>
          <xm:sqref>C1:C1048576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4E728-9E0D-47A0-A36B-2AB91003AFD2}">
  <sheetPr codeName="Sheet9"/>
  <dimension ref="A1:AT64"/>
  <sheetViews>
    <sheetView zoomScale="85" zoomScaleNormal="85" workbookViewId="0">
      <pane ySplit="15" topLeftCell="A16" activePane="bottomLeft" state="frozen"/>
      <selection pane="bottomLeft" activeCell="L32" sqref="L32"/>
    </sheetView>
  </sheetViews>
  <sheetFormatPr defaultColWidth="9.140625" defaultRowHeight="15" x14ac:dyDescent="0.25"/>
  <cols>
    <col min="1" max="1" width="10" style="6" bestFit="1" customWidth="1"/>
    <col min="2" max="2" width="11.140625" style="4" bestFit="1" customWidth="1"/>
    <col min="3" max="3" width="10.7109375" style="22" customWidth="1"/>
    <col min="4" max="4" width="15.85546875" style="13" hidden="1" customWidth="1"/>
    <col min="5" max="6" width="10.7109375" style="4" hidden="1" customWidth="1"/>
    <col min="7" max="7" width="2.140625" style="6" customWidth="1"/>
    <col min="8" max="8" width="7.7109375" style="5" customWidth="1"/>
    <col min="9" max="9" width="7.85546875" style="8" customWidth="1"/>
    <col min="10" max="10" width="7.7109375" style="6" customWidth="1"/>
    <col min="11" max="13" width="10.7109375" style="6" customWidth="1"/>
    <col min="14" max="14" width="1.42578125" style="6" customWidth="1"/>
    <col min="15" max="15" width="10.85546875" style="5" customWidth="1"/>
    <col min="16" max="16" width="8.85546875" style="5" hidden="1" customWidth="1"/>
    <col min="17" max="17" width="10.140625" style="5" customWidth="1"/>
    <col min="18" max="18" width="12.7109375" style="6" customWidth="1"/>
    <col min="19" max="19" width="1.42578125" style="6" customWidth="1"/>
    <col min="20" max="20" width="15.7109375" style="5" hidden="1" customWidth="1"/>
    <col min="21" max="34" width="15.7109375" style="32" hidden="1" customWidth="1"/>
    <col min="35" max="35" width="9.28515625" style="11" customWidth="1"/>
    <col min="36" max="36" width="1.42578125" style="6" customWidth="1"/>
    <col min="37" max="39" width="5.7109375" style="6" customWidth="1"/>
    <col min="40" max="41" width="8.7109375" style="8" customWidth="1"/>
    <col min="42" max="42" width="9.7109375" style="6" customWidth="1"/>
    <col min="43" max="43" width="7.85546875" style="6" customWidth="1"/>
    <col min="44" max="44" width="9.7109375" style="6" customWidth="1"/>
    <col min="45" max="45" width="1.42578125" style="6" customWidth="1"/>
    <col min="46" max="46" width="10.7109375" style="4" customWidth="1"/>
    <col min="47" max="16384" width="9.140625" style="4"/>
  </cols>
  <sheetData>
    <row r="1" spans="1:46" s="15" customFormat="1" ht="15" customHeight="1" x14ac:dyDescent="0.25">
      <c r="A1" s="51"/>
      <c r="B1" s="15" t="s">
        <v>60</v>
      </c>
      <c r="C1" s="20" t="s">
        <v>88</v>
      </c>
      <c r="D1" s="16" t="s">
        <v>79</v>
      </c>
      <c r="E1" s="15" t="s">
        <v>56</v>
      </c>
      <c r="F1" s="15" t="s">
        <v>80</v>
      </c>
      <c r="G1" s="18"/>
      <c r="H1" s="15" t="s">
        <v>59</v>
      </c>
      <c r="I1" s="16" t="s">
        <v>61</v>
      </c>
      <c r="J1" s="14" t="s">
        <v>46</v>
      </c>
      <c r="K1" s="14" t="s">
        <v>84</v>
      </c>
      <c r="L1" s="14" t="s">
        <v>83</v>
      </c>
      <c r="M1" s="14" t="s">
        <v>71</v>
      </c>
      <c r="N1" s="18"/>
      <c r="O1" s="14" t="s">
        <v>57</v>
      </c>
      <c r="P1" s="14" t="s">
        <v>86</v>
      </c>
      <c r="Q1" s="14" t="s">
        <v>58</v>
      </c>
      <c r="R1" s="14" t="s">
        <v>70</v>
      </c>
      <c r="S1" s="14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 t="s">
        <v>101</v>
      </c>
      <c r="AI1" s="17" t="s">
        <v>73</v>
      </c>
      <c r="AJ1" s="18"/>
      <c r="AK1" s="14" t="s">
        <v>74</v>
      </c>
      <c r="AL1" s="14" t="s">
        <v>75</v>
      </c>
      <c r="AM1" s="14" t="s">
        <v>76</v>
      </c>
      <c r="AN1" s="16" t="s">
        <v>81</v>
      </c>
      <c r="AO1" s="16" t="s">
        <v>82</v>
      </c>
      <c r="AP1" s="14" t="s">
        <v>103</v>
      </c>
      <c r="AQ1" s="14" t="s">
        <v>85</v>
      </c>
      <c r="AR1" s="14" t="s">
        <v>104</v>
      </c>
      <c r="AS1" s="18"/>
      <c r="AT1" s="15" t="s">
        <v>102</v>
      </c>
    </row>
    <row r="2" spans="1:46" s="31" customFormat="1" x14ac:dyDescent="0.25">
      <c r="A2" s="52"/>
      <c r="B2" s="26" t="e">
        <f>J2*(LOG(H2))*I2</f>
        <v>#DIV/0!</v>
      </c>
      <c r="C2" s="27" t="s">
        <v>78</v>
      </c>
      <c r="D2" s="28">
        <f>AVERAGE(D3:D6)</f>
        <v>0.7</v>
      </c>
      <c r="E2" s="26">
        <f>AVERAGE(E3:E6)</f>
        <v>3</v>
      </c>
      <c r="F2" s="29">
        <f>AVERAGE(F3:F6)</f>
        <v>10</v>
      </c>
      <c r="G2" s="26"/>
      <c r="H2" s="29">
        <f>SUM(H16:H64)</f>
        <v>0</v>
      </c>
      <c r="I2" s="28" t="e">
        <f>SUM(AF16:AF64)/(SUM(AF16:AF64)+SUM(AG16:AG64))</f>
        <v>#DIV/0!</v>
      </c>
      <c r="J2" s="26" t="e">
        <f>(SUM(V16:V64)+SUM(X16:X64)/2)/SUM(W16:W64)</f>
        <v>#DIV/0!</v>
      </c>
      <c r="K2" s="26" t="e">
        <f>SUM(Y16:Y64)/SUM(AH16:AH64)</f>
        <v>#DIV/0!</v>
      </c>
      <c r="L2" s="26" t="e">
        <f>SUM(AC16:AC64)/SUM(AH16:AH64)</f>
        <v>#DIV/0!</v>
      </c>
      <c r="M2" s="26" t="e">
        <f>SUM(U16:U64)/SUM(AH16:AH64)</f>
        <v>#DIV/0!</v>
      </c>
      <c r="N2" s="26"/>
      <c r="O2" s="29">
        <f>((D2-1)*SUM(AF16:AF64)+D2*SUM(AG16:AG64))/(1-D3)</f>
        <v>0</v>
      </c>
      <c r="P2" s="29"/>
      <c r="Q2" s="29">
        <f>E2*SUM(W16:W64)-SUM(V16:V64)-SUM(X16:X64)/2</f>
        <v>0</v>
      </c>
      <c r="R2" s="26">
        <f>IF(AND(O2&gt;0,Q2&gt;0),Q2/O2,(IF(AND(O2&lt;=0,Q2&gt;0),Q2,0)))</f>
        <v>0</v>
      </c>
      <c r="S2" s="26"/>
      <c r="T2" s="30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>
        <f>SUM(AH3:AH6)</f>
        <v>0</v>
      </c>
      <c r="AI2" s="44" t="str">
        <f>IF(AH2&gt;0,AH2/1440," ")</f>
        <v xml:space="preserve"> </v>
      </c>
      <c r="AJ2" s="26"/>
      <c r="AK2" s="26" t="e">
        <f>SUM(V16:V64)/SUM(AH16:AH64)</f>
        <v>#DIV/0!</v>
      </c>
      <c r="AL2" s="26" t="e">
        <f>SUM(W16:W64)/SUM(AH16:AH64)</f>
        <v>#DIV/0!</v>
      </c>
      <c r="AM2" s="26" t="e">
        <f>SUM(X16:X64)/SUM(AH16:AH64)</f>
        <v>#DIV/0!</v>
      </c>
      <c r="AN2" s="28" t="e">
        <f>SUM(Z16:Z64)/SUM(Y16:Y64)</f>
        <v>#DIV/0!</v>
      </c>
      <c r="AO2" s="28" t="e">
        <f>(SUM(Y16:Y64)-SUM(Z16:Z64))/SUM(Y16:Y64)</f>
        <v>#DIV/0!</v>
      </c>
      <c r="AP2" s="26" t="e">
        <f>SUM(AA16:AA64)/SUM(AH16:AH64)</f>
        <v>#DIV/0!</v>
      </c>
      <c r="AQ2" s="26" t="e">
        <f>SUM(AE16:AE64)/SUM(AH16:AH64)</f>
        <v>#DIV/0!</v>
      </c>
      <c r="AR2" s="26" t="e">
        <f>SUM(AB16:AB64)/SUM(AH16:AH64)</f>
        <v>#DIV/0!</v>
      </c>
      <c r="AS2" s="26"/>
      <c r="AT2" s="31" t="e">
        <f>SUM(AT16:AT64)/SUM(AH16:AH64)</f>
        <v>#DIV/0!</v>
      </c>
    </row>
    <row r="3" spans="1:46" x14ac:dyDescent="0.25">
      <c r="A3" s="52"/>
      <c r="B3" s="6" t="e">
        <f>J3*(LOG(H3))*I3</f>
        <v>#DIV/0!</v>
      </c>
      <c r="C3" s="21" t="s">
        <v>38</v>
      </c>
      <c r="D3" s="8">
        <v>0.7</v>
      </c>
      <c r="E3" s="6">
        <v>3</v>
      </c>
      <c r="F3" s="25">
        <v>10</v>
      </c>
      <c r="H3" s="25">
        <f>SUMIF($C$16:$C$64,C3,$H$16:$H$64)</f>
        <v>0</v>
      </c>
      <c r="I3" s="8" t="e">
        <f>SUMIF($C$16:$C$64,C3,$AF$16:$AF$64)/(SUMIF($C$16:$C$64,C3,$AF$16:$AF$64)+SUMIF($C$16:$C$64,C3,$AG$16:$AG$64))</f>
        <v>#DIV/0!</v>
      </c>
      <c r="J3" s="6" t="e">
        <f>((SUMIF($C$16:$C$64,C3,$V$16:$V$64)+SUMIF($C$16:$C$64,C3,$X$16:$X$64)/2)/SUMIF($C$16:$C$64,C3,$W$16:$W$64))</f>
        <v>#DIV/0!</v>
      </c>
      <c r="K3" s="40" t="e">
        <f>SUMIF($C$16:$C$64,C3,$Y$16:$Y$64)/SUMIF($C$16:$C$64,C3,$AH$16:$AH$64)</f>
        <v>#DIV/0!</v>
      </c>
      <c r="L3" s="6" t="e">
        <f>SUMIF($C$16:$C$64,C3,$AC$16:$AC$64)/SUMIF($C$16:$C$64,C3,$AH$16:$AH$64)</f>
        <v>#DIV/0!</v>
      </c>
      <c r="M3" s="6" t="e">
        <f>SUMIF($C$16:$C$64,C3,$U$16:$U$64)/SUMIF($C$16:$C$64,C3,$AH$16:$AH$64)</f>
        <v>#DIV/0!</v>
      </c>
      <c r="O3" s="10">
        <f>ROUNDUP(((D3-1)*SUMIF($C$16:$C$64,C3,$AF$16:$AF$64)+D2*SUMIF($C$16:$C$64,C3,$AG$16:$AG$64))/(1-D3),0)</f>
        <v>0</v>
      </c>
      <c r="Q3" s="10">
        <f>ROUNDUP(E3*SUMIF($C$16:$C$64,C3,$W$16:$W$64)-SUMIF($C$16:$C$64,C3,$V$16:$V$64)-SUMIF($C$16:$C$64,C3,$X$16:$X$64)/2,0)</f>
        <v>0</v>
      </c>
      <c r="R3" s="6">
        <f>IF(AND(O3&gt;0,Q3&gt;0),Q3/O3,(IF(AND(O3&lt;=0,Q3&gt;0),Q3,0)))</f>
        <v>0</v>
      </c>
      <c r="AH3" s="32">
        <f>SUMIF($C$16:$C$64,C3,$AH$16:$AH$64)</f>
        <v>0</v>
      </c>
      <c r="AI3" s="39" t="str">
        <f>IF(AH3&gt;0,AH3/1440," ")</f>
        <v xml:space="preserve"> </v>
      </c>
      <c r="AK3" s="6" t="e">
        <f>SUMIF($C$16:$C$64,C3,$V$16:$V$64)/SUMIF($C$16:$C$64,C3,$AH$16:$AH$64)</f>
        <v>#DIV/0!</v>
      </c>
      <c r="AL3" s="6" t="e">
        <f>SUMIF($C$16:$C$64,C3,$W$16:$W$64)/SUMIF($C$16:$C$64,C3,$AH$16:$AH$64)</f>
        <v>#DIV/0!</v>
      </c>
      <c r="AM3" s="6" t="e">
        <f>SUMIF($C$16:$C$64,C3,$X$16:$X$64)/SUMIF($C$16:$C$64,C3,$AH$16:$AH$64)</f>
        <v>#DIV/0!</v>
      </c>
      <c r="AN3" s="8" t="e">
        <f>SUMIF($C$16:$C$64,C3,$Z$16:$Z$64)/SUMIF($C$16:$C$64,C3,$Y16:$Y$64)</f>
        <v>#DIV/0!</v>
      </c>
      <c r="AO3" s="8" t="e">
        <f>(SUMIF($C$16:$C$64,C3,$Y16:$Y$64)-SUMIF($C$16:$C$64,C3,$Z16:$Z$64))/SUMIF($C$16:$C$64,C3,$Y16:$Y$64)</f>
        <v>#DIV/0!</v>
      </c>
      <c r="AP3" s="6" t="e">
        <f>SUMIF($C$16:$C$64,C3,$AA16:$AA$64)/SUMIF($C$16:$C$64,C3,$AH16:$AH$64)</f>
        <v>#DIV/0!</v>
      </c>
      <c r="AQ3" s="6" t="e">
        <f>SUMIF($C$16:$C$64,C3,$AE16:$AE$64)/SUMIF($C$16:$C$64,C3,$AH16:$AH$64)</f>
        <v>#DIV/0!</v>
      </c>
      <c r="AR3" s="6" t="e">
        <f>SUMIF($C$16:$C$64,C3,$AB16:$AB$64)/SUMIF($C$16:$C$64,C3,$AH16:$AH$64)</f>
        <v>#DIV/0!</v>
      </c>
      <c r="AT3" s="40" t="e">
        <f>(SUMIF($C$16:$C$64,C3,$AC16:$AC$64)+SUMIF($C$16:$C$64,C3,$AD16:$AD$64))/SUMIF($C$16:$C$64,C3,$AH16:$AH$64)</f>
        <v>#DIV/0!</v>
      </c>
    </row>
    <row r="4" spans="1:46" x14ac:dyDescent="0.25">
      <c r="A4" s="52"/>
      <c r="B4" s="6" t="e">
        <f>J4*(LOG(H4))*I4</f>
        <v>#DIV/0!</v>
      </c>
      <c r="C4" s="21" t="s">
        <v>40</v>
      </c>
      <c r="D4" s="8">
        <v>0.7</v>
      </c>
      <c r="E4" s="6">
        <v>3</v>
      </c>
      <c r="F4" s="25">
        <v>10</v>
      </c>
      <c r="H4" s="25">
        <f>SUMIF($C$16:$C$64,C4,$H$16:$H$64)</f>
        <v>0</v>
      </c>
      <c r="I4" s="8" t="e">
        <f>SUMIF($C$16:$C$64,C4,$AF$16:$AF$64)/(SUMIF($C$16:$C$64,C4,$AF$16:$AF$64)+SUMIF($C$16:$C$64,C4,$AG$16:$AG$64))</f>
        <v>#DIV/0!</v>
      </c>
      <c r="J4" s="6" t="e">
        <f>((SUMIF($C$16:$C$64,C4,$V$16:$V$64)+SUMIF($C$16:$C$64,C4,$X$16:$X$64)/2)/SUMIF($C$16:$C$64,C4,$W$16:$W$64))</f>
        <v>#DIV/0!</v>
      </c>
      <c r="K4" s="40" t="e">
        <f>SUMIF($C$16:$C$64,C4,$Y$16:$Y$64)/SUMIF($C$16:$C$64,C4,$AH$16:$AH$64)</f>
        <v>#DIV/0!</v>
      </c>
      <c r="L4" s="6" t="e">
        <f>SUMIF($C$16:$C$64,C4,$AC$16:$AC$64)/SUMIF($C$16:$C$64,C4,$AH$16:$AH$64)</f>
        <v>#DIV/0!</v>
      </c>
      <c r="M4" s="6" t="e">
        <f>SUMIF($C$16:$C$64,C4,$U$16:$U$64)/SUMIF($C$16:$C$64,C4,$AH$16:$AH$64)</f>
        <v>#DIV/0!</v>
      </c>
      <c r="O4" s="10">
        <f>ROUNDUP(((D4-1)*SUMIF($C$16:$C$64,C4,$AF$16:$AF$64)+D3*SUMIF($C$16:$C$64,C4,$AG$16:$AG$64))/(1-D4),0)</f>
        <v>0</v>
      </c>
      <c r="Q4" s="10">
        <f t="shared" ref="Q4:Q6" si="0">ROUNDUP(E4*SUMIF($C$16:$C$64,C4,$W$16:$W$64)-SUMIF($C$16:$C$64,C4,$V$16:$V$64)-SUMIF($C$16:$C$64,C4,$X$16:$X$64)/2,0)</f>
        <v>0</v>
      </c>
      <c r="R4" s="6">
        <f t="shared" ref="R4:R6" si="1">IF(AND(O4&gt;0,Q4&gt;0),Q4/O4,(IF(AND(O4&lt;=0,Q4&gt;0),Q4,0)))</f>
        <v>0</v>
      </c>
      <c r="AH4" s="32">
        <f t="shared" ref="AH4:AH6" si="2">SUMIF($C$16:$C$64,C4,$AH$16:$AH$64)</f>
        <v>0</v>
      </c>
      <c r="AI4" s="39" t="str">
        <f t="shared" ref="AI4:AI6" si="3">IF(AH4&gt;0,AH4/1440," ")</f>
        <v xml:space="preserve"> </v>
      </c>
      <c r="AK4" s="6" t="e">
        <f t="shared" ref="AK4:AK6" si="4">SUMIF($C$16:$C$64,C4,$V$16:$V$64)/SUMIF($C$16:$C$64,C4,$AH$16:$AH$64)</f>
        <v>#DIV/0!</v>
      </c>
      <c r="AL4" s="6" t="e">
        <f t="shared" ref="AL4:AL6" si="5">SUMIF($C$16:$C$64,C4,$W$16:$W$64)/SUMIF($C$16:$C$64,C4,$AH$16:$AH$64)</f>
        <v>#DIV/0!</v>
      </c>
      <c r="AM4" s="6" t="e">
        <f t="shared" ref="AM4:AM6" si="6">SUMIF($C$16:$C$64,C4,$X$16:$X$64)/SUMIF($C$16:$C$64,C4,$AH$16:$AH$64)</f>
        <v>#DIV/0!</v>
      </c>
      <c r="AN4" s="5" t="e">
        <f>SUMIF($C$16:$C$64,C4,$Z$16:$Z$64)/SUMIF($C$16:$C$64,C4,$Y16:$Y$64)</f>
        <v>#DIV/0!</v>
      </c>
      <c r="AO4" s="8" t="e">
        <f ca="1">(SUMIF($C$16:$C$64,C4,$Y18:$Y$64)-SUMIF($C$16:$C$64,C4,$Z18:$Z$64))/SUMIF($C$16:$C$64,C4,$Y18:$Y$64)</f>
        <v>#DIV/0!</v>
      </c>
      <c r="AP4" s="6" t="e">
        <f ca="1">SUMIF($C$16:$C$64,C4,$AA18:$AA$64)/SUMIF($C$16:$C$64,C4,$AH18:$AH$64)</f>
        <v>#DIV/0!</v>
      </c>
      <c r="AQ4" s="6" t="e">
        <f ca="1">SUMIF($C$16:$C$64,C4,$AE18:$AE$64)/SUMIF($C$16:$C$64,C4,$AH18:$AH$64)</f>
        <v>#DIV/0!</v>
      </c>
      <c r="AR4" s="6" t="e">
        <f ca="1">SUMIF($C$16:$C$64,C4,$AB18:$AB$64)/SUMIF($C$16:$C$64,C4,$AH18:$AH$64)</f>
        <v>#DIV/0!</v>
      </c>
      <c r="AT4" s="40" t="e">
        <f ca="1">(SUMIF($C$16:$C$64,C4,$AC18:$AC$64)+SUMIF($C$16:$C$64,C4,$AD18:$AD$64))/SUMIF($C$16:$C$64,C4,$AH18:$AH$64)</f>
        <v>#DIV/0!</v>
      </c>
    </row>
    <row r="5" spans="1:46" x14ac:dyDescent="0.25">
      <c r="A5" s="52"/>
      <c r="B5" s="6" t="e">
        <f>J5*(LOG(H5))*I5</f>
        <v>#DIV/0!</v>
      </c>
      <c r="C5" s="21" t="s">
        <v>39</v>
      </c>
      <c r="D5" s="8">
        <v>0.7</v>
      </c>
      <c r="E5" s="6">
        <v>3</v>
      </c>
      <c r="F5" s="25">
        <v>10</v>
      </c>
      <c r="H5" s="25">
        <f>SUMIF($C$16:$C$64,C5,$H$16:$H$64)</f>
        <v>0</v>
      </c>
      <c r="I5" s="8" t="e">
        <f>SUMIF($C$16:$C$64,C5,$AF$16:$AF$64)/(SUMIF($C$16:$C$64,C5,$AF$16:$AF$64)+SUMIF($C$16:$C$64,C5,$AG$16:$AG$64))</f>
        <v>#DIV/0!</v>
      </c>
      <c r="J5" s="6" t="e">
        <f>((SUMIF($C$16:$C$64,C5,$V$16:$V$64)+SUMIF($C$16:$C$64,C5,$X$16:$X$64)/2)/SUMIF($C$16:$C$64,C5,$W$16:$W$64))</f>
        <v>#DIV/0!</v>
      </c>
      <c r="K5" s="40" t="e">
        <f>SUMIF($C$16:$C$64,C5,$Y$16:$Y$64)/SUMIF($C$16:$C$64,C5,$AH$16:$AH$64)</f>
        <v>#DIV/0!</v>
      </c>
      <c r="L5" s="6" t="e">
        <f>SUMIF($C$16:$C$64,C5,$AC$16:$AC$64)/SUMIF($C$16:$C$64,C5,$AH$16:$AH$64)</f>
        <v>#DIV/0!</v>
      </c>
      <c r="M5" s="6" t="e">
        <f>SUMIF($C$16:$C$64,C5,$U$16:$U$64)/SUMIF($C$16:$C$64,C5,$AH$16:$AH$64)</f>
        <v>#DIV/0!</v>
      </c>
      <c r="O5" s="10">
        <f>ROUNDUP(((D5-1)*SUMIF($C$16:$C$64,C5,$AF$16:$AF$64)+D4*SUMIF($C$16:$C$64,C5,$AG$16:$AG$64))/(1-D5),0)</f>
        <v>0</v>
      </c>
      <c r="Q5" s="10">
        <f t="shared" si="0"/>
        <v>0</v>
      </c>
      <c r="R5" s="6">
        <f t="shared" si="1"/>
        <v>0</v>
      </c>
      <c r="AH5" s="32">
        <f t="shared" si="2"/>
        <v>0</v>
      </c>
      <c r="AI5" s="39" t="str">
        <f t="shared" si="3"/>
        <v xml:space="preserve"> </v>
      </c>
      <c r="AK5" s="6" t="e">
        <f t="shared" si="4"/>
        <v>#DIV/0!</v>
      </c>
      <c r="AL5" s="6" t="e">
        <f t="shared" si="5"/>
        <v>#DIV/0!</v>
      </c>
      <c r="AM5" s="6" t="e">
        <f t="shared" si="6"/>
        <v>#DIV/0!</v>
      </c>
      <c r="AN5" s="8" t="e">
        <f ca="1">SUMIF($C$16:$C$64,C5,$Z$16:$Z$64)/SUMIF($C$16:$C$64,C5,$Y19:$Y$64)</f>
        <v>#DIV/0!</v>
      </c>
      <c r="AO5" s="8" t="e">
        <f ca="1">(SUMIF($C$16:$C$64,C5,$Y19:$Y$64)-SUMIF($C$16:$C$64,C5,$Z19:$Z$64))/SUMIF($C$16:$C$64,C5,$Y19:$Y$64)</f>
        <v>#DIV/0!</v>
      </c>
      <c r="AP5" s="6" t="e">
        <f ca="1">SUMIF($C$16:$C$64,C5,$AA19:$AA$64)/SUMIF($C$16:$C$64,C5,$AH19:$AH$64)</f>
        <v>#DIV/0!</v>
      </c>
      <c r="AQ5" s="6" t="e">
        <f ca="1">SUMIF($C$16:$C$64,C5,$AE19:$AE$64)/SUMIF($C$16:$C$64,C5,$AH19:$AH$64)</f>
        <v>#DIV/0!</v>
      </c>
      <c r="AR5" s="6" t="e">
        <f ca="1">SUMIF($C$16:$C$64,C5,$AB19:$AB$64)/SUMIF($C$16:$C$64,C5,$AH19:$AH$64)</f>
        <v>#DIV/0!</v>
      </c>
      <c r="AT5" s="40" t="e">
        <f ca="1">(SUMIF($C$16:$C$64,C5,$AC19:$AC$64)+SUMIF($C$16:$C$64,C5,$AD19:$AD$64))/SUMIF($C$16:$C$64,C5,$AH19:$AH$64)</f>
        <v>#DIV/0!</v>
      </c>
    </row>
    <row r="6" spans="1:46" x14ac:dyDescent="0.25">
      <c r="A6" s="52"/>
      <c r="B6" s="6" t="e">
        <f>J6*(LOG(H6))*I6</f>
        <v>#DIV/0!</v>
      </c>
      <c r="C6" s="21" t="s">
        <v>37</v>
      </c>
      <c r="D6" s="8">
        <v>0.7</v>
      </c>
      <c r="E6" s="6">
        <v>3</v>
      </c>
      <c r="F6" s="25">
        <v>10</v>
      </c>
      <c r="H6" s="25">
        <f>SUMIF($C$16:$C$64,C6,$H$16:$H$64)</f>
        <v>0</v>
      </c>
      <c r="I6" s="8" t="e">
        <f>SUMIF($C$16:$C$64,C6,$AF$16:$AF$64)/(SUMIF($C$16:$C$64,C6,$AF$16:$AF$64)+SUMIF($C$16:$C$64,C6,$AG$16:$AG$64))</f>
        <v>#DIV/0!</v>
      </c>
      <c r="J6" s="6" t="e">
        <f>((SUMIF($C$16:$C$64,C6,$V$16:$V$64)+SUMIF($C$16:$C$64,C6,$X$16:$X$64)/2)/SUMIF($C$16:$C$64,C6,$W$16:$W$64))</f>
        <v>#DIV/0!</v>
      </c>
      <c r="K6" s="40" t="e">
        <f>SUMIF($C$16:$C$64,C6,$Y$16:$Y$64)/SUMIF($C$16:$C$64,C6,$AH$16:$AH$64)</f>
        <v>#DIV/0!</v>
      </c>
      <c r="L6" s="6" t="e">
        <f>SUMIF($C$16:$C$64,C6,$AC$16:$AC$64)/SUMIF($C$16:$C$64,C6,$AH$16:$AH$64)</f>
        <v>#DIV/0!</v>
      </c>
      <c r="M6" s="6" t="e">
        <f>SUMIF($C$16:$C$64,C6,$U$16:$U$64)/SUMIF($C$16:$C$64,C6,$AH$16:$AH$64)</f>
        <v>#DIV/0!</v>
      </c>
      <c r="O6" s="10">
        <f>ROUNDUP(((D6-1)*SUMIF($C$16:$C$64,C6,$AF$16:$AF$64)+D5*SUMIF($C$16:$C$64,C6,$AG$16:$AG$64))/(1-D6),0)</f>
        <v>0</v>
      </c>
      <c r="Q6" s="10">
        <f t="shared" si="0"/>
        <v>0</v>
      </c>
      <c r="R6" s="6">
        <f t="shared" si="1"/>
        <v>0</v>
      </c>
      <c r="AH6" s="32">
        <f t="shared" si="2"/>
        <v>0</v>
      </c>
      <c r="AI6" s="39" t="str">
        <f t="shared" si="3"/>
        <v xml:space="preserve"> </v>
      </c>
      <c r="AK6" s="6" t="e">
        <f t="shared" si="4"/>
        <v>#DIV/0!</v>
      </c>
      <c r="AL6" s="6" t="e">
        <f t="shared" si="5"/>
        <v>#DIV/0!</v>
      </c>
      <c r="AM6" s="6" t="e">
        <f t="shared" si="6"/>
        <v>#DIV/0!</v>
      </c>
      <c r="AN6" s="8" t="e">
        <f ca="1">SUMIF($C$16:$C$64,C6,$Z$16:$Z$64)/SUMIF($C$16:$C$64,C6,$Y20:$Y$64)</f>
        <v>#DIV/0!</v>
      </c>
      <c r="AO6" s="8" t="e">
        <f ca="1">(SUMIF($C$16:$C$64,C6,$Y20:$Y$64)-SUMIF($C$16:$C$64,C6,$Z20:$Z$64))/SUMIF($C$16:$C$64,C6,$Y20:$Y$64)</f>
        <v>#DIV/0!</v>
      </c>
      <c r="AP6" s="6" t="e">
        <f ca="1">SUMIF($C$16:$C$64,C6,$AA20:$AA$64)/SUMIF($C$16:$C$64,C6,$AH20:$AH$64)</f>
        <v>#DIV/0!</v>
      </c>
      <c r="AQ6" s="6" t="e">
        <f ca="1">SUMIF($C$16:$C$64,C6,$AE20:$AE$64)/SUMIF($C$16:$C$64,C6,$AH20:$AH$64)</f>
        <v>#DIV/0!</v>
      </c>
      <c r="AR6" s="6" t="e">
        <f ca="1">SUMIF($C$16:$C$64,C6,$AB20:$AB$64)/SUMIF($C$16:$C$64,C6,$AH20:$AH$64)</f>
        <v>#DIV/0!</v>
      </c>
      <c r="AT6" s="40" t="e">
        <f ca="1">(SUMIF($C$16:$C$64,C6,$AC20:$AC$64)+SUMIF($C$16:$C$64,C6,$AD20:$AD$64))/SUMIF($C$16:$C$64,C6,$AH20:$AH$64)</f>
        <v>#DIV/0!</v>
      </c>
    </row>
    <row r="7" spans="1:46" ht="5.25" customHeight="1" thickBot="1" x14ac:dyDescent="0.3">
      <c r="A7" s="8"/>
      <c r="B7" s="6"/>
      <c r="C7" s="21"/>
      <c r="D7" s="8"/>
      <c r="E7" s="6"/>
      <c r="F7" s="25"/>
      <c r="H7" s="25"/>
      <c r="K7" s="40"/>
      <c r="AT7" s="40"/>
    </row>
    <row r="8" spans="1:46" s="8" customFormat="1" ht="16.5" thickTop="1" thickBot="1" x14ac:dyDescent="0.3">
      <c r="A8" s="53" t="s">
        <v>99</v>
      </c>
      <c r="B8" s="6" t="e">
        <f t="shared" ref="B8:B14" si="7">J8*(LOG(H8))*I8</f>
        <v>#DIV/0!</v>
      </c>
      <c r="C8" s="22" t="s">
        <v>65</v>
      </c>
      <c r="D8" s="41">
        <v>0.7</v>
      </c>
      <c r="E8" s="42">
        <v>3</v>
      </c>
      <c r="F8" s="43">
        <v>20</v>
      </c>
      <c r="H8" s="25">
        <f>SUMIF($D$16:$D$64,"*"&amp;C8&amp;"*",$H$16:$H$64)</f>
        <v>0</v>
      </c>
      <c r="I8" s="8" t="e">
        <f>SUMIF($D$16:$D$64,"*"&amp;C8&amp;"*",$AF$16:$AF$64)/(SUMIF($D$16:$D$64,"*"&amp;C8&amp;"*",$AF$16:$AF$64)+SUMIF($D$16:$D$64,"*"&amp;C8&amp;"*",$AG$16:$AG$64))</f>
        <v>#DIV/0!</v>
      </c>
      <c r="J8" s="6" t="e">
        <f>(SUMIF($D$16:$D$64,"*"&amp;C8&amp;"*",$V$16:$V$64)+SUMIF($D$16:$D$64,"*"&amp;C8&amp;"*",$X$16:$X$64)/2)/SUMIF($D$16:$D$64,"*"&amp;C8&amp;"*",$W$16:$W$64)</f>
        <v>#DIV/0!</v>
      </c>
      <c r="K8" s="40" t="e">
        <f>SUMIF($D$16:$D$64,"*"&amp;C8&amp;"*",$Y$16:$Y$64)/SUMIF($D$16:$D$64,"*"&amp;C8&amp;"*",$AH$16:$AH$64)</f>
        <v>#DIV/0!</v>
      </c>
      <c r="L8" s="6" t="e">
        <f>SUMIF($D$16:$D$64,"*"&amp;C8&amp;"*",$AC$16:$AC$64)/SUMIF($D$16:$D$64,"*"&amp;C8&amp;"*",$AH$16:$AH$64)</f>
        <v>#DIV/0!</v>
      </c>
      <c r="M8" s="6" t="e">
        <f>SUMIF($D$16:$D$64,"*"&amp;C8&amp;"*",$U$16:$U$64)/SUMIF($D$16:$D$64,"*"&amp;C8&amp;"*",$AH$16:$AH$64)</f>
        <v>#DIV/0!</v>
      </c>
      <c r="O8" s="45">
        <f>((D8-1)*SUMIF($D$16:$D$64,"*"&amp;C8&amp;"*",$AF$16:$AF$64)+D8*SUMIF($D$16:$D$64,"*"&amp;C8&amp;"*",$AG$16:$AG$64))/(1-D8)</f>
        <v>0</v>
      </c>
      <c r="P8" s="25"/>
      <c r="Q8" s="45">
        <f>E8*SUMIF($D$16:$D$64,"*"&amp;C8&amp;"*",$W$16:$W$64)-SUMIF($D$16:$D$64,"*"&amp;C8&amp;"*",$V$16:$V$64)-SUMIF($D$16:$D$64,"*"&amp;C8&amp;"*",$X$16:$X$64)/2</f>
        <v>0</v>
      </c>
      <c r="R8" s="6">
        <f>IF(AND(O8&gt;0,Q8&gt;0),Q8/O8,(IF(AND(O8&lt;=0,Q8&gt;0),Q8,0)))</f>
        <v>0</v>
      </c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>
        <f ca="1">SUMIF($D$16:$E$64,"*"&amp;C8&amp;"*",$AH$16:$AH$64)</f>
        <v>0</v>
      </c>
      <c r="AI8" s="39" t="str">
        <f t="shared" ref="AI8:AI14" ca="1" si="8">IF(AH8&gt;0,AH8/1440," ")</f>
        <v xml:space="preserve"> </v>
      </c>
      <c r="AK8" s="6" t="e">
        <f>SUMIF($D$16:$D$64,"*"&amp;C8&amp;"*",$V$16:$V$64)/SUMIF($D$16:$D$64,"*"&amp;C8&amp;"*",$AH$16:$AH$64)</f>
        <v>#DIV/0!</v>
      </c>
      <c r="AL8" s="6" t="e">
        <f>SUMIF($D$16:$D$64,"*"&amp;C8&amp;"*",$W$16:$W$64)/SUMIF($D$16:$D$64,"*"&amp;C8&amp;"*",$AH$16:$AH$64)</f>
        <v>#DIV/0!</v>
      </c>
      <c r="AM8" s="6" t="e">
        <f>SUMIF($D$16:$D$64,"*"&amp;C8&amp;"*",$X$16:$X$64)/SUMIF($D$16:$D$64,"*"&amp;C8&amp;"*",$AH$16:$AH$64)</f>
        <v>#DIV/0!</v>
      </c>
      <c r="AN8" s="8" t="e">
        <f>SUMIF($D$16:$D$64,"*"&amp;C8&amp;"*",$Z$16:$Z$64)/SUMIF($D$16:$D$64,"*"&amp;C8&amp;"*",$Y$16:$Y$64)</f>
        <v>#DIV/0!</v>
      </c>
      <c r="AO8" s="8" t="e">
        <f>(SUMIF($D$16:$D$64,"*"&amp;C8&amp;"*",$Y$16:$Y$64)-SUMIF($D$16:$D$64,"*"&amp;C8&amp;"*",$Z$16:$Z$64))/SUMIF($D$16:$D$64,"*"&amp;C8&amp;"*",$Y$16:$Y$64)</f>
        <v>#DIV/0!</v>
      </c>
      <c r="AP8" s="6" t="e">
        <f>SUMIF($D$16:$D$64,"*"&amp;C8&amp;"*",$AA$16:$AA$64)/SUMIF($D$16:$D$64,"*"&amp;C8&amp;"*",$AH$16:$AH$64)</f>
        <v>#DIV/0!</v>
      </c>
      <c r="AQ8" s="6" t="e">
        <f>SUMIF($D$16:$D$64,"*"&amp;C8&amp;"*",$AE$16:$AE$64)/SUMIF($D$16:$D$64,"*"&amp;C8&amp;"*",$AH$16:$AH$64)</f>
        <v>#DIV/0!</v>
      </c>
      <c r="AR8" s="6" t="e">
        <f>SUMIF($D$16:$D$64,"*"&amp;C8&amp;"*",$AB$16:$AB$64)/SUMIF($D$16:$D$64,"*"&amp;C8&amp;"*",$AH$16:$AH$64)</f>
        <v>#DIV/0!</v>
      </c>
      <c r="AS8" s="6"/>
      <c r="AT8" s="6" t="e">
        <f>(SUMIF($D$16:$D$64,"*"&amp;C8&amp;"*",$AC$16:$AC$64)+SUMIF($D$16:$D$64,"*"&amp;C8&amp;"*",$AD$16:$AD$64))/SUMIF($D$16:$D$64,"*"&amp;C8&amp;"*",$AH$16:$AH$64)</f>
        <v>#DIV/0!</v>
      </c>
    </row>
    <row r="9" spans="1:46" s="8" customFormat="1" ht="16.5" thickTop="1" thickBot="1" x14ac:dyDescent="0.3">
      <c r="A9" s="53"/>
      <c r="B9" s="6" t="e">
        <f t="shared" si="7"/>
        <v>#DIV/0!</v>
      </c>
      <c r="C9" s="22" t="s">
        <v>64</v>
      </c>
      <c r="D9" s="41">
        <v>0.7</v>
      </c>
      <c r="E9" s="42">
        <v>3</v>
      </c>
      <c r="F9" s="43">
        <v>20</v>
      </c>
      <c r="H9" s="25">
        <f t="shared" ref="H9:H14" si="9">SUMIF($D$16:$D$64,"*"&amp;C9&amp;"*",$H$16:$H$64)</f>
        <v>0</v>
      </c>
      <c r="I9" s="8" t="e">
        <f t="shared" ref="I9:I14" si="10">SUMIF($D$16:$D$64,"*"&amp;C9&amp;"*",$AF$16:$AF$64)/(SUMIF($D$16:$D$64,"*"&amp;C9&amp;"*",$AF$16:$AF$64)+SUMIF($D$16:$D$64,"*"&amp;C9&amp;"*",$AG$16:$AG$64))</f>
        <v>#DIV/0!</v>
      </c>
      <c r="J9" s="6" t="e">
        <f t="shared" ref="J9:J14" si="11">(SUMIF($D$16:$D$64,"*"&amp;C9&amp;"*",$V$16:$V$64)+SUMIF($D$16:$D$64,"*"&amp;C9&amp;"*",$X$16:$X$64)/2)/SUMIF($D$16:$D$64,"*"&amp;C9&amp;"*",$W$16:$W$64)</f>
        <v>#DIV/0!</v>
      </c>
      <c r="K9" s="40" t="e">
        <f t="shared" ref="K9:K14" si="12">SUMIF($D$16:$D$64,"*"&amp;C9&amp;"*",$Y$16:$Y$64)/SUMIF($D$16:$D$64,"*"&amp;C9&amp;"*",$AH$16:$AH$64)</f>
        <v>#DIV/0!</v>
      </c>
      <c r="L9" s="6" t="e">
        <f t="shared" ref="L9:L14" si="13">SUMIF($D$16:$D$64,"*"&amp;C9&amp;"*",$AC$16:$AC$64)/SUMIF($D$16:$D$64,"*"&amp;C9&amp;"*",$AH$16:$AH$64)</f>
        <v>#DIV/0!</v>
      </c>
      <c r="M9" s="6" t="e">
        <f t="shared" ref="M9:M14" si="14">SUMIF($D$16:$D$64,"*"&amp;C9&amp;"*",$U$16:$U$64)/SUMIF($D$16:$D$64,"*"&amp;C9&amp;"*",$AH$16:$AH$64)</f>
        <v>#DIV/0!</v>
      </c>
      <c r="O9" s="45">
        <f>((D9-1)*SUMIF($D$16:$D$64,"*"&amp;C9&amp;"*",$AF$16:$AF$64)+D9*SUMIF($D$16:$D$64,"*"&amp;C9&amp;"*",$AG$16:$AG$64))/(1-D9)</f>
        <v>0</v>
      </c>
      <c r="P9" s="25"/>
      <c r="Q9" s="45">
        <f t="shared" ref="Q9:Q14" si="15">E9*SUMIF($D$16:$D$64,"*"&amp;C9&amp;"*",$W$16:$W$64)-SUMIF($D$16:$D$64,"*"&amp;C9&amp;"*",$V$16:$V$64)-SUMIF($D$16:$D$64,"*"&amp;C9&amp;"*",$X$16:$X$64)/2</f>
        <v>0</v>
      </c>
      <c r="R9" s="6">
        <f t="shared" ref="R9:R14" si="16">IF(AND(O9&gt;0,Q9&gt;0),Q9/O9,(IF(AND(O9&lt;=0,Q9&gt;0),Q9,0)))</f>
        <v>0</v>
      </c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>
        <f t="shared" ref="AH9:AH14" ca="1" si="17">SUMIF($D$16:$E$64,"*"&amp;C9&amp;"*",$AH$16:$AH$64)</f>
        <v>0</v>
      </c>
      <c r="AI9" s="39" t="str">
        <f t="shared" ca="1" si="8"/>
        <v xml:space="preserve"> </v>
      </c>
      <c r="AK9" s="6" t="e">
        <f t="shared" ref="AK9:AK14" si="18">SUMIF($D$16:$D$64,"*"&amp;C9&amp;"*",$V$16:$V$64)/SUMIF($D$16:$D$64,"*"&amp;C9&amp;"*",$AH$16:$AH$64)</f>
        <v>#DIV/0!</v>
      </c>
      <c r="AL9" s="6" t="e">
        <f t="shared" ref="AL9:AL14" si="19">SUMIF($D$16:$D$64,"*"&amp;C9&amp;"*",$W$16:$W$64)/SUMIF($D$16:$D$64,"*"&amp;C9&amp;"*",$AH$16:$AH$64)</f>
        <v>#DIV/0!</v>
      </c>
      <c r="AM9" s="6" t="e">
        <f t="shared" ref="AM9:AM14" si="20">SUMIF($D$16:$D$64,"*"&amp;C9&amp;"*",$X$16:$X$64)/SUMIF($D$16:$D$64,"*"&amp;C9&amp;"*",$AH$16:$AH$64)</f>
        <v>#DIV/0!</v>
      </c>
      <c r="AN9" s="8" t="e">
        <f t="shared" ref="AN9:AN14" si="21">SUMIF($D$16:$D$64,"*"&amp;C9&amp;"*",$Z$16:$Z$64)/SUMIF($D$16:$D$64,"*"&amp;C9&amp;"*",$Y$16:$Y$64)</f>
        <v>#DIV/0!</v>
      </c>
      <c r="AO9" s="8" t="e">
        <f t="shared" ref="AO9:AO14" si="22">(SUMIF($D$16:$D$64,"*"&amp;C9&amp;"*",$Y$16:$Y$64)-SUMIF($D$16:$D$64,"*"&amp;C9&amp;"*",$Z$16:$Z$64))/SUMIF($D$16:$D$64,"*"&amp;C9&amp;"*",$Y$16:$Y$64)</f>
        <v>#DIV/0!</v>
      </c>
      <c r="AP9" s="6" t="e">
        <f t="shared" ref="AP9:AP14" si="23">SUMIF($D$16:$D$64,"*"&amp;C9&amp;"*",$AA$16:$AA$64)/SUMIF($D$16:$D$64,"*"&amp;C9&amp;"*",$AH$16:$AH$64)</f>
        <v>#DIV/0!</v>
      </c>
      <c r="AQ9" s="6" t="e">
        <f t="shared" ref="AQ9:AQ14" si="24">SUMIF($D$16:$D$64,"*"&amp;C9&amp;"*",$AE$16:$AE$64)/SUMIF($D$16:$D$64,"*"&amp;C9&amp;"*",$AH$16:$AH$64)</f>
        <v>#DIV/0!</v>
      </c>
      <c r="AR9" s="6" t="e">
        <f t="shared" ref="AR9:AR14" si="25">SUMIF($D$16:$D$64,"*"&amp;C9&amp;"*",$AB$16:$AB$64)/SUMIF($D$16:$D$64,"*"&amp;C9&amp;"*",$AH$16:$AH$64)</f>
        <v>#DIV/0!</v>
      </c>
      <c r="AS9" s="6"/>
      <c r="AT9" s="6" t="e">
        <f t="shared" ref="AT9:AT14" si="26">(SUMIF($D$16:$D$64,"*"&amp;C9&amp;"*",$AC$16:$AC$64)+SUMIF($D$16:$D$64,"*"&amp;C9&amp;"*",$AD$16:$AD$64))/SUMIF($D$16:$D$64,"*"&amp;C9&amp;"*",$AH$16:$AH$64)</f>
        <v>#DIV/0!</v>
      </c>
    </row>
    <row r="10" spans="1:46" s="8" customFormat="1" ht="16.5" thickTop="1" thickBot="1" x14ac:dyDescent="0.3">
      <c r="A10" s="53"/>
      <c r="B10" s="6" t="e">
        <f t="shared" si="7"/>
        <v>#DIV/0!</v>
      </c>
      <c r="C10" s="22" t="s">
        <v>66</v>
      </c>
      <c r="D10" s="41">
        <v>0.7</v>
      </c>
      <c r="E10" s="42">
        <v>3</v>
      </c>
      <c r="F10" s="43">
        <v>20</v>
      </c>
      <c r="H10" s="25">
        <f t="shared" si="9"/>
        <v>0</v>
      </c>
      <c r="I10" s="8" t="e">
        <f t="shared" si="10"/>
        <v>#DIV/0!</v>
      </c>
      <c r="J10" s="6" t="e">
        <f t="shared" si="11"/>
        <v>#DIV/0!</v>
      </c>
      <c r="K10" s="40" t="e">
        <f t="shared" si="12"/>
        <v>#DIV/0!</v>
      </c>
      <c r="L10" s="6" t="e">
        <f t="shared" si="13"/>
        <v>#DIV/0!</v>
      </c>
      <c r="M10" s="6" t="e">
        <f t="shared" si="14"/>
        <v>#DIV/0!</v>
      </c>
      <c r="O10" s="45">
        <f t="shared" ref="O10:O14" si="27">((D10-1)*SUMIF($D$16:$D$64,"*"&amp;C10&amp;"*",$AF$16:$AF$64)+D10*SUMIF($D$16:$D$64,"*"&amp;C10&amp;"*",$AG$16:$AG$64))/(1-D10)</f>
        <v>0</v>
      </c>
      <c r="P10" s="25"/>
      <c r="Q10" s="45">
        <f t="shared" si="15"/>
        <v>0</v>
      </c>
      <c r="R10" s="6">
        <f t="shared" si="16"/>
        <v>0</v>
      </c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>
        <f t="shared" ca="1" si="17"/>
        <v>0</v>
      </c>
      <c r="AI10" s="39" t="str">
        <f t="shared" ca="1" si="8"/>
        <v xml:space="preserve"> </v>
      </c>
      <c r="AK10" s="6" t="e">
        <f t="shared" si="18"/>
        <v>#DIV/0!</v>
      </c>
      <c r="AL10" s="6" t="e">
        <f t="shared" si="19"/>
        <v>#DIV/0!</v>
      </c>
      <c r="AM10" s="6" t="e">
        <f t="shared" si="20"/>
        <v>#DIV/0!</v>
      </c>
      <c r="AN10" s="8" t="e">
        <f t="shared" si="21"/>
        <v>#DIV/0!</v>
      </c>
      <c r="AO10" s="8" t="e">
        <f t="shared" si="22"/>
        <v>#DIV/0!</v>
      </c>
      <c r="AP10" s="6" t="e">
        <f t="shared" si="23"/>
        <v>#DIV/0!</v>
      </c>
      <c r="AQ10" s="6" t="e">
        <f t="shared" si="24"/>
        <v>#DIV/0!</v>
      </c>
      <c r="AR10" s="6" t="e">
        <f t="shared" si="25"/>
        <v>#DIV/0!</v>
      </c>
      <c r="AS10" s="6"/>
      <c r="AT10" s="6" t="e">
        <f t="shared" si="26"/>
        <v>#DIV/0!</v>
      </c>
    </row>
    <row r="11" spans="1:46" s="8" customFormat="1" ht="16.5" thickTop="1" thickBot="1" x14ac:dyDescent="0.3">
      <c r="A11" s="53"/>
      <c r="B11" s="6" t="e">
        <f t="shared" si="7"/>
        <v>#DIV/0!</v>
      </c>
      <c r="C11" s="22" t="s">
        <v>62</v>
      </c>
      <c r="D11" s="41">
        <v>0.7</v>
      </c>
      <c r="E11" s="42">
        <v>3</v>
      </c>
      <c r="F11" s="43">
        <v>20</v>
      </c>
      <c r="H11" s="25">
        <f t="shared" si="9"/>
        <v>0</v>
      </c>
      <c r="I11" s="8" t="e">
        <f t="shared" si="10"/>
        <v>#DIV/0!</v>
      </c>
      <c r="J11" s="6" t="e">
        <f t="shared" si="11"/>
        <v>#DIV/0!</v>
      </c>
      <c r="K11" s="40" t="e">
        <f t="shared" si="12"/>
        <v>#DIV/0!</v>
      </c>
      <c r="L11" s="6" t="e">
        <f t="shared" si="13"/>
        <v>#DIV/0!</v>
      </c>
      <c r="M11" s="6" t="e">
        <f t="shared" si="14"/>
        <v>#DIV/0!</v>
      </c>
      <c r="O11" s="45">
        <f t="shared" si="27"/>
        <v>0</v>
      </c>
      <c r="P11" s="25"/>
      <c r="Q11" s="45">
        <f t="shared" si="15"/>
        <v>0</v>
      </c>
      <c r="R11" s="6">
        <f t="shared" si="16"/>
        <v>0</v>
      </c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>
        <f t="shared" ca="1" si="17"/>
        <v>0</v>
      </c>
      <c r="AI11" s="39" t="str">
        <f t="shared" ca="1" si="8"/>
        <v xml:space="preserve"> </v>
      </c>
      <c r="AK11" s="6" t="e">
        <f t="shared" si="18"/>
        <v>#DIV/0!</v>
      </c>
      <c r="AL11" s="6" t="e">
        <f t="shared" si="19"/>
        <v>#DIV/0!</v>
      </c>
      <c r="AM11" s="6" t="e">
        <f t="shared" si="20"/>
        <v>#DIV/0!</v>
      </c>
      <c r="AN11" s="8" t="e">
        <f t="shared" si="21"/>
        <v>#DIV/0!</v>
      </c>
      <c r="AO11" s="8" t="e">
        <f t="shared" si="22"/>
        <v>#DIV/0!</v>
      </c>
      <c r="AP11" s="6" t="e">
        <f t="shared" si="23"/>
        <v>#DIV/0!</v>
      </c>
      <c r="AQ11" s="6" t="e">
        <f t="shared" si="24"/>
        <v>#DIV/0!</v>
      </c>
      <c r="AR11" s="6" t="e">
        <f t="shared" si="25"/>
        <v>#DIV/0!</v>
      </c>
      <c r="AS11" s="6"/>
      <c r="AT11" s="6" t="e">
        <f t="shared" si="26"/>
        <v>#DIV/0!</v>
      </c>
    </row>
    <row r="12" spans="1:46" s="8" customFormat="1" ht="16.5" thickTop="1" thickBot="1" x14ac:dyDescent="0.3">
      <c r="A12" s="53"/>
      <c r="B12" s="6" t="e">
        <f t="shared" si="7"/>
        <v>#DIV/0!</v>
      </c>
      <c r="C12" s="22" t="s">
        <v>67</v>
      </c>
      <c r="D12" s="41">
        <v>0.7</v>
      </c>
      <c r="E12" s="42">
        <v>3</v>
      </c>
      <c r="F12" s="43">
        <v>20</v>
      </c>
      <c r="H12" s="25">
        <f t="shared" si="9"/>
        <v>0</v>
      </c>
      <c r="I12" s="8" t="e">
        <f t="shared" si="10"/>
        <v>#DIV/0!</v>
      </c>
      <c r="J12" s="6" t="e">
        <f t="shared" si="11"/>
        <v>#DIV/0!</v>
      </c>
      <c r="K12" s="40" t="e">
        <f t="shared" si="12"/>
        <v>#DIV/0!</v>
      </c>
      <c r="L12" s="6" t="e">
        <f t="shared" si="13"/>
        <v>#DIV/0!</v>
      </c>
      <c r="M12" s="6" t="e">
        <f t="shared" si="14"/>
        <v>#DIV/0!</v>
      </c>
      <c r="O12" s="45">
        <f t="shared" si="27"/>
        <v>0</v>
      </c>
      <c r="P12" s="25"/>
      <c r="Q12" s="45">
        <f t="shared" si="15"/>
        <v>0</v>
      </c>
      <c r="R12" s="6">
        <f t="shared" si="16"/>
        <v>0</v>
      </c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>
        <f t="shared" ca="1" si="17"/>
        <v>0</v>
      </c>
      <c r="AI12" s="39" t="str">
        <f t="shared" ca="1" si="8"/>
        <v xml:space="preserve"> </v>
      </c>
      <c r="AK12" s="6" t="e">
        <f t="shared" si="18"/>
        <v>#DIV/0!</v>
      </c>
      <c r="AL12" s="6" t="e">
        <f t="shared" si="19"/>
        <v>#DIV/0!</v>
      </c>
      <c r="AM12" s="6" t="e">
        <f t="shared" si="20"/>
        <v>#DIV/0!</v>
      </c>
      <c r="AN12" s="8" t="e">
        <f t="shared" si="21"/>
        <v>#DIV/0!</v>
      </c>
      <c r="AO12" s="8" t="e">
        <f t="shared" si="22"/>
        <v>#DIV/0!</v>
      </c>
      <c r="AP12" s="6" t="e">
        <f t="shared" si="23"/>
        <v>#DIV/0!</v>
      </c>
      <c r="AQ12" s="6" t="e">
        <f t="shared" si="24"/>
        <v>#DIV/0!</v>
      </c>
      <c r="AR12" s="6" t="e">
        <f t="shared" si="25"/>
        <v>#DIV/0!</v>
      </c>
      <c r="AS12" s="6"/>
      <c r="AT12" s="6" t="e">
        <f t="shared" si="26"/>
        <v>#DIV/0!</v>
      </c>
    </row>
    <row r="13" spans="1:46" s="8" customFormat="1" ht="16.5" thickTop="1" thickBot="1" x14ac:dyDescent="0.3">
      <c r="A13" s="53"/>
      <c r="B13" s="6" t="e">
        <f t="shared" si="7"/>
        <v>#DIV/0!</v>
      </c>
      <c r="C13" s="22" t="s">
        <v>63</v>
      </c>
      <c r="D13" s="41">
        <v>0.7</v>
      </c>
      <c r="E13" s="42">
        <v>3</v>
      </c>
      <c r="F13" s="43">
        <v>20</v>
      </c>
      <c r="H13" s="25">
        <f t="shared" si="9"/>
        <v>0</v>
      </c>
      <c r="I13" s="8" t="e">
        <f t="shared" si="10"/>
        <v>#DIV/0!</v>
      </c>
      <c r="J13" s="6" t="e">
        <f t="shared" si="11"/>
        <v>#DIV/0!</v>
      </c>
      <c r="K13" s="40" t="e">
        <f t="shared" si="12"/>
        <v>#DIV/0!</v>
      </c>
      <c r="L13" s="6" t="e">
        <f t="shared" si="13"/>
        <v>#DIV/0!</v>
      </c>
      <c r="M13" s="6" t="e">
        <f t="shared" si="14"/>
        <v>#DIV/0!</v>
      </c>
      <c r="O13" s="45">
        <f t="shared" si="27"/>
        <v>0</v>
      </c>
      <c r="P13" s="25"/>
      <c r="Q13" s="45">
        <f t="shared" si="15"/>
        <v>0</v>
      </c>
      <c r="R13" s="6">
        <f t="shared" si="16"/>
        <v>0</v>
      </c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>
        <f t="shared" ca="1" si="17"/>
        <v>0</v>
      </c>
      <c r="AI13" s="39" t="str">
        <f t="shared" ca="1" si="8"/>
        <v xml:space="preserve"> </v>
      </c>
      <c r="AK13" s="6" t="e">
        <f t="shared" si="18"/>
        <v>#DIV/0!</v>
      </c>
      <c r="AL13" s="6" t="e">
        <f t="shared" si="19"/>
        <v>#DIV/0!</v>
      </c>
      <c r="AM13" s="6" t="e">
        <f t="shared" si="20"/>
        <v>#DIV/0!</v>
      </c>
      <c r="AN13" s="8" t="e">
        <f t="shared" si="21"/>
        <v>#DIV/0!</v>
      </c>
      <c r="AO13" s="8" t="e">
        <f t="shared" si="22"/>
        <v>#DIV/0!</v>
      </c>
      <c r="AP13" s="6" t="e">
        <f t="shared" si="23"/>
        <v>#DIV/0!</v>
      </c>
      <c r="AQ13" s="6" t="e">
        <f t="shared" si="24"/>
        <v>#DIV/0!</v>
      </c>
      <c r="AR13" s="6" t="e">
        <f t="shared" si="25"/>
        <v>#DIV/0!</v>
      </c>
      <c r="AS13" s="6"/>
      <c r="AT13" s="6" t="e">
        <f t="shared" si="26"/>
        <v>#DIV/0!</v>
      </c>
    </row>
    <row r="14" spans="1:46" s="8" customFormat="1" ht="16.5" thickTop="1" thickBot="1" x14ac:dyDescent="0.3">
      <c r="A14" s="53"/>
      <c r="B14" s="6" t="e">
        <f t="shared" si="7"/>
        <v>#DIV/0!</v>
      </c>
      <c r="C14" s="22" t="s">
        <v>91</v>
      </c>
      <c r="D14" s="41">
        <v>0.7</v>
      </c>
      <c r="E14" s="42">
        <v>3</v>
      </c>
      <c r="F14" s="43">
        <v>20</v>
      </c>
      <c r="H14" s="25">
        <f t="shared" si="9"/>
        <v>0</v>
      </c>
      <c r="I14" s="8" t="e">
        <f t="shared" si="10"/>
        <v>#DIV/0!</v>
      </c>
      <c r="J14" s="6" t="e">
        <f t="shared" si="11"/>
        <v>#DIV/0!</v>
      </c>
      <c r="K14" s="40" t="e">
        <f t="shared" si="12"/>
        <v>#DIV/0!</v>
      </c>
      <c r="L14" s="6" t="e">
        <f t="shared" si="13"/>
        <v>#DIV/0!</v>
      </c>
      <c r="M14" s="6" t="e">
        <f t="shared" si="14"/>
        <v>#DIV/0!</v>
      </c>
      <c r="O14" s="45">
        <f t="shared" si="27"/>
        <v>0</v>
      </c>
      <c r="P14" s="25"/>
      <c r="Q14" s="45">
        <f t="shared" si="15"/>
        <v>0</v>
      </c>
      <c r="R14" s="6">
        <f t="shared" si="16"/>
        <v>0</v>
      </c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>
        <f t="shared" ca="1" si="17"/>
        <v>0</v>
      </c>
      <c r="AI14" s="39" t="str">
        <f t="shared" ca="1" si="8"/>
        <v xml:space="preserve"> </v>
      </c>
      <c r="AK14" s="6" t="e">
        <f t="shared" si="18"/>
        <v>#DIV/0!</v>
      </c>
      <c r="AL14" s="6" t="e">
        <f t="shared" si="19"/>
        <v>#DIV/0!</v>
      </c>
      <c r="AM14" s="6" t="e">
        <f t="shared" si="20"/>
        <v>#DIV/0!</v>
      </c>
      <c r="AN14" s="8" t="e">
        <f t="shared" si="21"/>
        <v>#DIV/0!</v>
      </c>
      <c r="AO14" s="8" t="e">
        <f t="shared" si="22"/>
        <v>#DIV/0!</v>
      </c>
      <c r="AP14" s="6" t="e">
        <f t="shared" si="23"/>
        <v>#DIV/0!</v>
      </c>
      <c r="AQ14" s="6" t="e">
        <f t="shared" si="24"/>
        <v>#DIV/0!</v>
      </c>
      <c r="AR14" s="6" t="e">
        <f t="shared" si="25"/>
        <v>#DIV/0!</v>
      </c>
      <c r="AS14" s="6"/>
      <c r="AT14" s="6" t="e">
        <f t="shared" si="26"/>
        <v>#DIV/0!</v>
      </c>
    </row>
    <row r="15" spans="1:46" s="5" customFormat="1" ht="15.75" thickTop="1" x14ac:dyDescent="0.25">
      <c r="A15" s="2" t="s">
        <v>60</v>
      </c>
      <c r="B15" s="3" t="s">
        <v>77</v>
      </c>
      <c r="C15" s="23" t="s">
        <v>55</v>
      </c>
      <c r="D15" s="1" t="s">
        <v>87</v>
      </c>
      <c r="E15" s="3" t="s">
        <v>69</v>
      </c>
      <c r="F15" s="3" t="s">
        <v>68</v>
      </c>
      <c r="G15" s="18"/>
      <c r="H15" s="3" t="s">
        <v>59</v>
      </c>
      <c r="I15" s="1" t="s">
        <v>61</v>
      </c>
      <c r="J15" s="2" t="s">
        <v>46</v>
      </c>
      <c r="K15" s="2" t="s">
        <v>84</v>
      </c>
      <c r="L15" s="2" t="s">
        <v>83</v>
      </c>
      <c r="M15" s="2" t="s">
        <v>71</v>
      </c>
      <c r="N15" s="18"/>
      <c r="O15" s="3" t="s">
        <v>57</v>
      </c>
      <c r="P15" s="3" t="s">
        <v>86</v>
      </c>
      <c r="Q15" s="3" t="s">
        <v>58</v>
      </c>
      <c r="R15" s="2" t="s">
        <v>70</v>
      </c>
      <c r="S15" s="18"/>
      <c r="T15" s="19" t="s">
        <v>93</v>
      </c>
      <c r="U15" s="35" t="s">
        <v>72</v>
      </c>
      <c r="V15" s="35" t="s">
        <v>43</v>
      </c>
      <c r="W15" s="35" t="s">
        <v>44</v>
      </c>
      <c r="X15" s="35" t="s">
        <v>45</v>
      </c>
      <c r="Y15" s="35" t="s">
        <v>38</v>
      </c>
      <c r="Z15" s="35" t="s">
        <v>94</v>
      </c>
      <c r="AA15" s="35" t="s">
        <v>95</v>
      </c>
      <c r="AB15" s="35" t="s">
        <v>96</v>
      </c>
      <c r="AC15" s="35" t="s">
        <v>97</v>
      </c>
      <c r="AD15" s="35" t="s">
        <v>98</v>
      </c>
      <c r="AE15" s="35" t="s">
        <v>100</v>
      </c>
      <c r="AF15" s="35" t="s">
        <v>41</v>
      </c>
      <c r="AG15" s="35" t="s">
        <v>42</v>
      </c>
      <c r="AH15" s="36" t="s">
        <v>101</v>
      </c>
      <c r="AI15" s="38" t="s">
        <v>73</v>
      </c>
      <c r="AJ15" s="18"/>
      <c r="AK15" s="2" t="s">
        <v>74</v>
      </c>
      <c r="AL15" s="2" t="s">
        <v>75</v>
      </c>
      <c r="AM15" s="2" t="s">
        <v>76</v>
      </c>
      <c r="AN15" s="1" t="s">
        <v>81</v>
      </c>
      <c r="AO15" s="1" t="s">
        <v>82</v>
      </c>
      <c r="AP15" s="2" t="s">
        <v>103</v>
      </c>
      <c r="AQ15" s="2" t="s">
        <v>85</v>
      </c>
      <c r="AR15" s="2" t="s">
        <v>104</v>
      </c>
      <c r="AS15" s="18"/>
      <c r="AT15" s="2" t="s">
        <v>102</v>
      </c>
    </row>
    <row r="16" spans="1:46" ht="15" customHeight="1" x14ac:dyDescent="0.25">
      <c r="A16" s="6" t="str">
        <f t="shared" ref="A16:A47" si="28">IF(H16=" "," ",(((M16*LOG(H16)^10)/(LOG(H16)^10+9))*(((J16*I16*LOG(H16)^10)/(LOG(H16)^10+9))/(12.8))))</f>
        <v xml:space="preserve"> </v>
      </c>
      <c r="B16" s="7" t="s">
        <v>24</v>
      </c>
      <c r="C16" s="22" t="s">
        <v>38</v>
      </c>
      <c r="D16" s="13" t="str">
        <f t="shared" ref="D16:D22" si="29">E16&amp;" "&amp;F16</f>
        <v>Projectile Arc</v>
      </c>
      <c r="E16" s="4" t="s">
        <v>65</v>
      </c>
      <c r="F16" s="4" t="s">
        <v>66</v>
      </c>
      <c r="H16" s="32" t="str">
        <f t="shared" ref="H16:H47" si="30">IF(ISBLANK(AF16)," ",AF16+AG16)</f>
        <v xml:space="preserve"> </v>
      </c>
      <c r="I16" s="8" t="str">
        <f t="shared" ref="I16:I47" si="31">IF(ISBLANK(AF16),"",AF16/(AF16+AG16))</f>
        <v/>
      </c>
      <c r="J16" s="9" t="str">
        <f t="shared" ref="J16:J47" si="32">IF(ISBLANK(V16)," ",(V16+X16/2)/W16)</f>
        <v xml:space="preserve"> </v>
      </c>
      <c r="K16" s="40" t="str">
        <f t="shared" ref="K16:K47" si="33">IF(Y16&gt;0,Y16/AH16," ")</f>
        <v xml:space="preserve"> </v>
      </c>
      <c r="L16" s="40" t="str">
        <f t="shared" ref="L16:L47" si="34">IF(AC16&gt;0,(AC16)/AH16," ")</f>
        <v xml:space="preserve"> </v>
      </c>
      <c r="M16" s="40" t="str">
        <f t="shared" ref="M16:M47" si="35">IF(U16&gt;0,U16/AH16," ")</f>
        <v xml:space="preserve"> </v>
      </c>
      <c r="O16" s="10" t="str">
        <f t="shared" ref="O16:O47" si="36">IF(ISBLANK(AF16)," ",IF((P16+H16)&lt;=SUMIF($C$2:$C$6,C16,$F$2:$F$6),SUMIF($C$2:$C$6,C16,$F$2:$F$6)-H16,P16))</f>
        <v xml:space="preserve"> </v>
      </c>
      <c r="P16" s="10" t="str">
        <f t="shared" ref="P16:P47" si="37">IF(ISBLANK(AF16)," ",_xlfn.CEILING.MATH(((SUMIF($C$2:$C$6,C16,$D$2:$D$6)-1)*AF16+SUMIF($C$2:$C$6,C16,$D$2:$D$6)*AG16)/(1-SUMIF($C$2:$C$6,C16,$D$2:$D$6))))</f>
        <v xml:space="preserve"> </v>
      </c>
      <c r="Q16" s="10" t="str">
        <f t="shared" ref="Q16:Q47" si="38">IF(ISBLANK(V16)," ",_xlfn.CEILING.MATH(SUMIF($C$2:$C$6,C16,$E$2:$E$6)*W16-V16-X16/2))</f>
        <v xml:space="preserve"> </v>
      </c>
      <c r="R16" s="9" t="e">
        <f t="shared" ref="R16:R47" si="39">IF(AND(O16&gt;0,Q16&gt;0),Q16/O16,(IF(AND(O16&lt;=0,Q16&gt;0),Q16,0)))</f>
        <v>#VALUE!</v>
      </c>
      <c r="X16" s="37"/>
      <c r="Y16" s="37"/>
      <c r="Z16" s="37"/>
      <c r="AA16" s="37"/>
      <c r="AB16" s="37"/>
      <c r="AC16" s="37"/>
      <c r="AD16" s="37"/>
      <c r="AE16" s="37"/>
      <c r="AH16" s="37"/>
      <c r="AI16" s="39" t="str">
        <f t="shared" ref="AI16:AI47" si="40">IF(AH16&gt;0,AH16/1440," ")</f>
        <v xml:space="preserve"> </v>
      </c>
      <c r="AK16" s="9" t="str">
        <f t="shared" ref="AK16:AK47" si="41">IF(V16&gt;0,V16/AH16," ")</f>
        <v xml:space="preserve"> </v>
      </c>
      <c r="AL16" s="9" t="str">
        <f t="shared" ref="AL16:AL47" si="42">IF(W16&gt;0,W16/AH16," ")</f>
        <v xml:space="preserve"> </v>
      </c>
      <c r="AM16" s="6" t="str">
        <f t="shared" ref="AM16:AM47" si="43">IF(X16&gt;0,X16/AH16," ")</f>
        <v xml:space="preserve"> </v>
      </c>
      <c r="AN16" s="8" t="str">
        <f t="shared" ref="AN16:AN47" si="44">IF(Y16&gt;0,Z16/Y16," ")</f>
        <v xml:space="preserve"> </v>
      </c>
      <c r="AO16" s="8" t="str">
        <f t="shared" ref="AO16:AO47" si="45">IF(Y16&gt;0,(Y16-Z16)/Y16," ")</f>
        <v xml:space="preserve"> </v>
      </c>
      <c r="AP16" s="40" t="str">
        <f t="shared" ref="AP16:AP47" si="46">IF(AA16&gt;0,AA16/AH16," ")</f>
        <v xml:space="preserve"> </v>
      </c>
      <c r="AQ16" s="40" t="str">
        <f t="shared" ref="AQ16:AQ47" si="47">IF(AE16&gt;0,AE16/AH16," ")</f>
        <v xml:space="preserve"> </v>
      </c>
      <c r="AR16" s="40" t="str">
        <f t="shared" ref="AR16:AR47" si="48">IF(AB16&gt;0,AB16/AH16," ")</f>
        <v xml:space="preserve"> </v>
      </c>
      <c r="AS16" s="40"/>
      <c r="AT16" s="40" t="str">
        <f t="shared" ref="AT16:AT47" si="49">IF(ISBLANK(AH16)," ",(AC16+AD16)/AH16)</f>
        <v xml:space="preserve"> </v>
      </c>
    </row>
    <row r="17" spans="1:46" ht="15" customHeight="1" x14ac:dyDescent="0.25">
      <c r="A17" s="6" t="str">
        <f t="shared" si="28"/>
        <v xml:space="preserve"> </v>
      </c>
      <c r="B17" s="7" t="s">
        <v>4</v>
      </c>
      <c r="C17" s="22" t="s">
        <v>38</v>
      </c>
      <c r="D17" s="13" t="str">
        <f t="shared" si="29"/>
        <v>Projectile Repeater</v>
      </c>
      <c r="E17" s="4" t="s">
        <v>65</v>
      </c>
      <c r="F17" s="4" t="s">
        <v>63</v>
      </c>
      <c r="H17" s="32" t="str">
        <f t="shared" si="30"/>
        <v xml:space="preserve"> </v>
      </c>
      <c r="I17" s="8" t="str">
        <f t="shared" si="31"/>
        <v/>
      </c>
      <c r="J17" s="9" t="str">
        <f t="shared" si="32"/>
        <v xml:space="preserve"> </v>
      </c>
      <c r="K17" s="40" t="str">
        <f t="shared" si="33"/>
        <v xml:space="preserve"> </v>
      </c>
      <c r="L17" s="40" t="str">
        <f t="shared" si="34"/>
        <v xml:space="preserve"> </v>
      </c>
      <c r="M17" s="40" t="str">
        <f t="shared" si="35"/>
        <v xml:space="preserve"> </v>
      </c>
      <c r="O17" s="10" t="str">
        <f t="shared" si="36"/>
        <v xml:space="preserve"> </v>
      </c>
      <c r="P17" s="10" t="str">
        <f t="shared" si="37"/>
        <v xml:space="preserve"> </v>
      </c>
      <c r="Q17" s="10" t="str">
        <f t="shared" si="38"/>
        <v xml:space="preserve"> </v>
      </c>
      <c r="R17" s="9" t="e">
        <f t="shared" si="39"/>
        <v>#VALUE!</v>
      </c>
      <c r="X17" s="37"/>
      <c r="Y17" s="37"/>
      <c r="Z17" s="37"/>
      <c r="AA17" s="37"/>
      <c r="AB17" s="37"/>
      <c r="AC17" s="37"/>
      <c r="AD17" s="37"/>
      <c r="AE17" s="37"/>
      <c r="AH17" s="37"/>
      <c r="AI17" s="39" t="str">
        <f t="shared" si="40"/>
        <v xml:space="preserve"> </v>
      </c>
      <c r="AK17" s="9" t="str">
        <f t="shared" si="41"/>
        <v xml:space="preserve"> </v>
      </c>
      <c r="AL17" s="9" t="str">
        <f t="shared" si="42"/>
        <v xml:space="preserve"> </v>
      </c>
      <c r="AM17" s="6" t="str">
        <f t="shared" si="43"/>
        <v xml:space="preserve"> </v>
      </c>
      <c r="AN17" s="8" t="str">
        <f t="shared" si="44"/>
        <v xml:space="preserve"> </v>
      </c>
      <c r="AO17" s="8" t="str">
        <f t="shared" si="45"/>
        <v xml:space="preserve"> </v>
      </c>
      <c r="AP17" s="40" t="str">
        <f t="shared" si="46"/>
        <v xml:space="preserve"> </v>
      </c>
      <c r="AQ17" s="40" t="str">
        <f t="shared" si="47"/>
        <v xml:space="preserve"> </v>
      </c>
      <c r="AR17" s="40" t="str">
        <f t="shared" si="48"/>
        <v xml:space="preserve"> </v>
      </c>
      <c r="AS17" s="40"/>
      <c r="AT17" s="40" t="str">
        <f t="shared" si="49"/>
        <v xml:space="preserve"> </v>
      </c>
    </row>
    <row r="18" spans="1:46" ht="15" customHeight="1" x14ac:dyDescent="0.25">
      <c r="A18" s="6" t="str">
        <f t="shared" si="28"/>
        <v xml:space="preserve"> </v>
      </c>
      <c r="B18" s="7" t="s">
        <v>32</v>
      </c>
      <c r="C18" s="22" t="s">
        <v>38</v>
      </c>
      <c r="D18" s="13" t="str">
        <f t="shared" si="29"/>
        <v>Projectile Arc</v>
      </c>
      <c r="E18" s="4" t="s">
        <v>65</v>
      </c>
      <c r="F18" s="4" t="s">
        <v>66</v>
      </c>
      <c r="H18" s="32" t="str">
        <f t="shared" si="30"/>
        <v xml:space="preserve"> </v>
      </c>
      <c r="I18" s="8" t="str">
        <f t="shared" si="31"/>
        <v/>
      </c>
      <c r="J18" s="9" t="str">
        <f t="shared" si="32"/>
        <v xml:space="preserve"> </v>
      </c>
      <c r="K18" s="40" t="str">
        <f t="shared" si="33"/>
        <v xml:space="preserve"> </v>
      </c>
      <c r="L18" s="40" t="str">
        <f t="shared" si="34"/>
        <v xml:space="preserve"> </v>
      </c>
      <c r="M18" s="40" t="str">
        <f t="shared" si="35"/>
        <v xml:space="preserve"> </v>
      </c>
      <c r="O18" s="10" t="str">
        <f t="shared" si="36"/>
        <v xml:space="preserve"> </v>
      </c>
      <c r="P18" s="10" t="str">
        <f t="shared" si="37"/>
        <v xml:space="preserve"> </v>
      </c>
      <c r="Q18" s="10" t="str">
        <f t="shared" si="38"/>
        <v xml:space="preserve"> </v>
      </c>
      <c r="R18" s="9" t="e">
        <f t="shared" si="39"/>
        <v>#VALUE!</v>
      </c>
      <c r="X18" s="37"/>
      <c r="Y18" s="37"/>
      <c r="Z18" s="37"/>
      <c r="AA18" s="37"/>
      <c r="AB18" s="37"/>
      <c r="AC18" s="37"/>
      <c r="AD18" s="37"/>
      <c r="AE18" s="37"/>
      <c r="AH18" s="37"/>
      <c r="AI18" s="39" t="str">
        <f t="shared" si="40"/>
        <v xml:space="preserve"> </v>
      </c>
      <c r="AK18" s="9" t="str">
        <f t="shared" si="41"/>
        <v xml:space="preserve"> </v>
      </c>
      <c r="AL18" s="9" t="str">
        <f t="shared" si="42"/>
        <v xml:space="preserve"> </v>
      </c>
      <c r="AM18" s="6" t="str">
        <f t="shared" si="43"/>
        <v xml:space="preserve"> </v>
      </c>
      <c r="AN18" s="8" t="str">
        <f t="shared" si="44"/>
        <v xml:space="preserve"> </v>
      </c>
      <c r="AO18" s="8" t="str">
        <f t="shared" si="45"/>
        <v xml:space="preserve"> </v>
      </c>
      <c r="AP18" s="40" t="str">
        <f t="shared" si="46"/>
        <v xml:space="preserve"> </v>
      </c>
      <c r="AQ18" s="40" t="str">
        <f t="shared" si="47"/>
        <v xml:space="preserve"> </v>
      </c>
      <c r="AR18" s="40" t="str">
        <f t="shared" si="48"/>
        <v xml:space="preserve"> </v>
      </c>
      <c r="AS18" s="40"/>
      <c r="AT18" s="40" t="str">
        <f t="shared" si="49"/>
        <v xml:space="preserve"> </v>
      </c>
    </row>
    <row r="19" spans="1:46" ht="15" customHeight="1" x14ac:dyDescent="0.25">
      <c r="A19" s="6" t="str">
        <f t="shared" si="28"/>
        <v xml:space="preserve"> </v>
      </c>
      <c r="B19" s="7" t="s">
        <v>26</v>
      </c>
      <c r="C19" s="22" t="s">
        <v>38</v>
      </c>
      <c r="D19" s="13" t="str">
        <f t="shared" si="29"/>
        <v>Projectile Repeater</v>
      </c>
      <c r="E19" s="4" t="s">
        <v>65</v>
      </c>
      <c r="F19" s="4" t="s">
        <v>63</v>
      </c>
      <c r="H19" s="32" t="str">
        <f t="shared" si="30"/>
        <v xml:space="preserve"> </v>
      </c>
      <c r="I19" s="8" t="str">
        <f t="shared" si="31"/>
        <v/>
      </c>
      <c r="J19" s="9" t="str">
        <f t="shared" si="32"/>
        <v xml:space="preserve"> </v>
      </c>
      <c r="K19" s="40" t="str">
        <f t="shared" si="33"/>
        <v xml:space="preserve"> </v>
      </c>
      <c r="L19" s="40" t="str">
        <f t="shared" si="34"/>
        <v xml:space="preserve"> </v>
      </c>
      <c r="M19" s="40" t="str">
        <f t="shared" si="35"/>
        <v xml:space="preserve"> </v>
      </c>
      <c r="O19" s="10" t="str">
        <f t="shared" si="36"/>
        <v xml:space="preserve"> </v>
      </c>
      <c r="P19" s="10" t="str">
        <f t="shared" si="37"/>
        <v xml:space="preserve"> </v>
      </c>
      <c r="Q19" s="10" t="str">
        <f t="shared" si="38"/>
        <v xml:space="preserve"> </v>
      </c>
      <c r="R19" s="9" t="e">
        <f t="shared" si="39"/>
        <v>#VALUE!</v>
      </c>
      <c r="X19" s="37"/>
      <c r="Y19" s="37"/>
      <c r="Z19" s="37"/>
      <c r="AA19" s="37"/>
      <c r="AB19" s="37"/>
      <c r="AC19" s="37"/>
      <c r="AD19" s="37"/>
      <c r="AE19" s="37"/>
      <c r="AH19" s="37"/>
      <c r="AI19" s="39" t="str">
        <f t="shared" si="40"/>
        <v xml:space="preserve"> </v>
      </c>
      <c r="AK19" s="9" t="str">
        <f t="shared" si="41"/>
        <v xml:space="preserve"> </v>
      </c>
      <c r="AL19" s="9" t="str">
        <f t="shared" si="42"/>
        <v xml:space="preserve"> </v>
      </c>
      <c r="AM19" s="6" t="str">
        <f t="shared" si="43"/>
        <v xml:space="preserve"> </v>
      </c>
      <c r="AN19" s="8" t="str">
        <f t="shared" si="44"/>
        <v xml:space="preserve"> </v>
      </c>
      <c r="AO19" s="8" t="str">
        <f t="shared" si="45"/>
        <v xml:space="preserve"> </v>
      </c>
      <c r="AP19" s="40" t="str">
        <f t="shared" si="46"/>
        <v xml:space="preserve"> </v>
      </c>
      <c r="AQ19" s="40" t="str">
        <f t="shared" si="47"/>
        <v xml:space="preserve"> </v>
      </c>
      <c r="AR19" s="40" t="str">
        <f t="shared" si="48"/>
        <v xml:space="preserve"> </v>
      </c>
      <c r="AS19" s="40"/>
      <c r="AT19" s="40" t="str">
        <f t="shared" si="49"/>
        <v xml:space="preserve"> </v>
      </c>
    </row>
    <row r="20" spans="1:46" ht="15" customHeight="1" x14ac:dyDescent="0.25">
      <c r="A20" s="6" t="str">
        <f t="shared" si="28"/>
        <v xml:space="preserve"> </v>
      </c>
      <c r="B20" s="7" t="s">
        <v>47</v>
      </c>
      <c r="C20" s="22" t="s">
        <v>38</v>
      </c>
      <c r="D20" s="13" t="str">
        <f t="shared" si="29"/>
        <v>Projectile Repeater Charge</v>
      </c>
      <c r="E20" s="4" t="s">
        <v>65</v>
      </c>
      <c r="F20" s="12" t="s">
        <v>89</v>
      </c>
      <c r="H20" s="32" t="str">
        <f t="shared" si="30"/>
        <v xml:space="preserve"> </v>
      </c>
      <c r="I20" s="8" t="str">
        <f t="shared" si="31"/>
        <v/>
      </c>
      <c r="J20" s="9" t="str">
        <f t="shared" si="32"/>
        <v xml:space="preserve"> </v>
      </c>
      <c r="K20" s="40" t="str">
        <f t="shared" si="33"/>
        <v xml:space="preserve"> </v>
      </c>
      <c r="L20" s="40" t="str">
        <f t="shared" si="34"/>
        <v xml:space="preserve"> </v>
      </c>
      <c r="M20" s="40" t="str">
        <f t="shared" si="35"/>
        <v xml:space="preserve"> </v>
      </c>
      <c r="O20" s="10" t="str">
        <f t="shared" si="36"/>
        <v xml:space="preserve"> </v>
      </c>
      <c r="P20" s="10" t="str">
        <f t="shared" si="37"/>
        <v xml:space="preserve"> </v>
      </c>
      <c r="Q20" s="10" t="str">
        <f t="shared" si="38"/>
        <v xml:space="preserve"> </v>
      </c>
      <c r="R20" s="9" t="e">
        <f t="shared" si="39"/>
        <v>#VALUE!</v>
      </c>
      <c r="X20" s="37"/>
      <c r="Y20" s="37"/>
      <c r="Z20" s="37"/>
      <c r="AA20" s="37"/>
      <c r="AB20" s="37"/>
      <c r="AC20" s="37"/>
      <c r="AD20" s="37"/>
      <c r="AE20" s="37"/>
      <c r="AH20" s="37"/>
      <c r="AI20" s="39" t="str">
        <f t="shared" si="40"/>
        <v xml:space="preserve"> </v>
      </c>
      <c r="AK20" s="9" t="str">
        <f t="shared" si="41"/>
        <v xml:space="preserve"> </v>
      </c>
      <c r="AL20" s="9" t="str">
        <f t="shared" si="42"/>
        <v xml:space="preserve"> </v>
      </c>
      <c r="AM20" s="6" t="str">
        <f t="shared" si="43"/>
        <v xml:space="preserve"> </v>
      </c>
      <c r="AN20" s="8" t="str">
        <f t="shared" si="44"/>
        <v xml:space="preserve"> </v>
      </c>
      <c r="AO20" s="8" t="str">
        <f t="shared" si="45"/>
        <v xml:space="preserve"> </v>
      </c>
      <c r="AP20" s="40" t="str">
        <f t="shared" si="46"/>
        <v xml:space="preserve"> </v>
      </c>
      <c r="AQ20" s="40" t="str">
        <f t="shared" si="47"/>
        <v xml:space="preserve"> </v>
      </c>
      <c r="AR20" s="40" t="str">
        <f t="shared" si="48"/>
        <v xml:space="preserve"> </v>
      </c>
      <c r="AS20" s="40"/>
      <c r="AT20" s="40" t="str">
        <f t="shared" si="49"/>
        <v xml:space="preserve"> </v>
      </c>
    </row>
    <row r="21" spans="1:46" ht="15" customHeight="1" x14ac:dyDescent="0.25">
      <c r="A21" s="6" t="str">
        <f t="shared" si="28"/>
        <v xml:space="preserve"> </v>
      </c>
      <c r="B21" s="7" t="s">
        <v>16</v>
      </c>
      <c r="C21" s="22" t="s">
        <v>38</v>
      </c>
      <c r="D21" s="13" t="str">
        <f t="shared" si="29"/>
        <v>Hitscan Charge</v>
      </c>
      <c r="E21" s="4" t="s">
        <v>64</v>
      </c>
      <c r="F21" s="4" t="s">
        <v>62</v>
      </c>
      <c r="H21" s="32" t="str">
        <f t="shared" si="30"/>
        <v xml:space="preserve"> </v>
      </c>
      <c r="I21" s="8" t="str">
        <f t="shared" si="31"/>
        <v/>
      </c>
      <c r="J21" s="9" t="str">
        <f t="shared" si="32"/>
        <v xml:space="preserve"> </v>
      </c>
      <c r="K21" s="40" t="str">
        <f t="shared" si="33"/>
        <v xml:space="preserve"> </v>
      </c>
      <c r="L21" s="40" t="str">
        <f t="shared" si="34"/>
        <v xml:space="preserve"> </v>
      </c>
      <c r="M21" s="40" t="str">
        <f t="shared" si="35"/>
        <v xml:space="preserve"> </v>
      </c>
      <c r="O21" s="10" t="str">
        <f t="shared" si="36"/>
        <v xml:space="preserve"> </v>
      </c>
      <c r="P21" s="10" t="str">
        <f t="shared" si="37"/>
        <v xml:space="preserve"> </v>
      </c>
      <c r="Q21" s="10" t="str">
        <f t="shared" si="38"/>
        <v xml:space="preserve"> </v>
      </c>
      <c r="R21" s="9" t="e">
        <f t="shared" si="39"/>
        <v>#VALUE!</v>
      </c>
      <c r="X21" s="37"/>
      <c r="Y21" s="37"/>
      <c r="Z21" s="37"/>
      <c r="AA21" s="37"/>
      <c r="AB21" s="37"/>
      <c r="AC21" s="37"/>
      <c r="AD21" s="37"/>
      <c r="AE21" s="37"/>
      <c r="AH21" s="37"/>
      <c r="AI21" s="39" t="str">
        <f t="shared" si="40"/>
        <v xml:space="preserve"> </v>
      </c>
      <c r="AK21" s="9" t="str">
        <f t="shared" si="41"/>
        <v xml:space="preserve"> </v>
      </c>
      <c r="AL21" s="9" t="str">
        <f t="shared" si="42"/>
        <v xml:space="preserve"> </v>
      </c>
      <c r="AM21" s="6" t="str">
        <f t="shared" si="43"/>
        <v xml:space="preserve"> </v>
      </c>
      <c r="AN21" s="8" t="str">
        <f t="shared" si="44"/>
        <v xml:space="preserve"> </v>
      </c>
      <c r="AO21" s="8" t="str">
        <f t="shared" si="45"/>
        <v xml:space="preserve"> </v>
      </c>
      <c r="AP21" s="40" t="str">
        <f t="shared" si="46"/>
        <v xml:space="preserve"> </v>
      </c>
      <c r="AQ21" s="40" t="str">
        <f t="shared" si="47"/>
        <v xml:space="preserve"> </v>
      </c>
      <c r="AR21" s="40" t="str">
        <f t="shared" si="48"/>
        <v xml:space="preserve"> </v>
      </c>
      <c r="AS21" s="40"/>
      <c r="AT21" s="40" t="str">
        <f t="shared" si="49"/>
        <v xml:space="preserve"> </v>
      </c>
    </row>
    <row r="22" spans="1:46" ht="15" customHeight="1" x14ac:dyDescent="0.25">
      <c r="A22" s="6" t="str">
        <f t="shared" si="28"/>
        <v xml:space="preserve"> </v>
      </c>
      <c r="B22" s="7" t="s">
        <v>25</v>
      </c>
      <c r="C22" s="22" t="s">
        <v>38</v>
      </c>
      <c r="D22" s="13" t="str">
        <f t="shared" si="29"/>
        <v>Hitscan Repeater</v>
      </c>
      <c r="E22" s="4" t="s">
        <v>64</v>
      </c>
      <c r="F22" s="4" t="s">
        <v>63</v>
      </c>
      <c r="H22" s="32" t="str">
        <f t="shared" si="30"/>
        <v xml:space="preserve"> </v>
      </c>
      <c r="I22" s="8" t="str">
        <f t="shared" si="31"/>
        <v/>
      </c>
      <c r="J22" s="9" t="str">
        <f t="shared" si="32"/>
        <v xml:space="preserve"> </v>
      </c>
      <c r="K22" s="40" t="str">
        <f t="shared" si="33"/>
        <v xml:space="preserve"> </v>
      </c>
      <c r="L22" s="40" t="str">
        <f t="shared" si="34"/>
        <v xml:space="preserve"> </v>
      </c>
      <c r="M22" s="40" t="str">
        <f t="shared" si="35"/>
        <v xml:space="preserve"> </v>
      </c>
      <c r="O22" s="10" t="str">
        <f t="shared" si="36"/>
        <v xml:space="preserve"> </v>
      </c>
      <c r="P22" s="10" t="str">
        <f t="shared" si="37"/>
        <v xml:space="preserve"> </v>
      </c>
      <c r="Q22" s="10" t="str">
        <f t="shared" si="38"/>
        <v xml:space="preserve"> </v>
      </c>
      <c r="R22" s="9" t="e">
        <f t="shared" si="39"/>
        <v>#VALUE!</v>
      </c>
      <c r="X22" s="37"/>
      <c r="Y22" s="37"/>
      <c r="Z22" s="37"/>
      <c r="AA22" s="37"/>
      <c r="AB22" s="37"/>
      <c r="AC22" s="37"/>
      <c r="AD22" s="37"/>
      <c r="AE22" s="37"/>
      <c r="AH22" s="37"/>
      <c r="AI22" s="39" t="str">
        <f t="shared" si="40"/>
        <v xml:space="preserve"> </v>
      </c>
      <c r="AK22" s="9" t="str">
        <f t="shared" si="41"/>
        <v xml:space="preserve"> </v>
      </c>
      <c r="AL22" s="9" t="str">
        <f t="shared" si="42"/>
        <v xml:space="preserve"> </v>
      </c>
      <c r="AM22" s="6" t="str">
        <f t="shared" si="43"/>
        <v xml:space="preserve"> </v>
      </c>
      <c r="AN22" s="8" t="str">
        <f t="shared" si="44"/>
        <v xml:space="preserve"> </v>
      </c>
      <c r="AO22" s="8" t="str">
        <f t="shared" si="45"/>
        <v xml:space="preserve"> </v>
      </c>
      <c r="AP22" s="40" t="str">
        <f t="shared" si="46"/>
        <v xml:space="preserve"> </v>
      </c>
      <c r="AQ22" s="40" t="str">
        <f t="shared" si="47"/>
        <v xml:space="preserve"> </v>
      </c>
      <c r="AR22" s="40" t="str">
        <f t="shared" si="48"/>
        <v xml:space="preserve"> </v>
      </c>
      <c r="AS22" s="40"/>
      <c r="AT22" s="40" t="str">
        <f t="shared" si="49"/>
        <v xml:space="preserve"> </v>
      </c>
    </row>
    <row r="23" spans="1:46" ht="15" customHeight="1" x14ac:dyDescent="0.25">
      <c r="A23" s="6" t="str">
        <f t="shared" si="28"/>
        <v xml:space="preserve"> </v>
      </c>
      <c r="B23" s="7" t="s">
        <v>135</v>
      </c>
      <c r="C23" s="22" t="s">
        <v>38</v>
      </c>
      <c r="H23" s="32" t="str">
        <f t="shared" si="30"/>
        <v xml:space="preserve"> </v>
      </c>
      <c r="I23" s="8" t="str">
        <f t="shared" si="31"/>
        <v/>
      </c>
      <c r="J23" s="9" t="str">
        <f t="shared" si="32"/>
        <v xml:space="preserve"> </v>
      </c>
      <c r="K23" s="40" t="str">
        <f t="shared" si="33"/>
        <v xml:space="preserve"> </v>
      </c>
      <c r="L23" s="40" t="str">
        <f t="shared" si="34"/>
        <v xml:space="preserve"> </v>
      </c>
      <c r="M23" s="40" t="str">
        <f t="shared" si="35"/>
        <v xml:space="preserve"> </v>
      </c>
      <c r="O23" s="10" t="str">
        <f t="shared" si="36"/>
        <v xml:space="preserve"> </v>
      </c>
      <c r="P23" s="10" t="str">
        <f t="shared" si="37"/>
        <v xml:space="preserve"> </v>
      </c>
      <c r="Q23" s="10" t="str">
        <f t="shared" si="38"/>
        <v xml:space="preserve"> </v>
      </c>
      <c r="R23" s="9" t="e">
        <f t="shared" si="39"/>
        <v>#VALUE!</v>
      </c>
      <c r="X23" s="37"/>
      <c r="Y23" s="37"/>
      <c r="Z23" s="37"/>
      <c r="AA23" s="37"/>
      <c r="AB23" s="37"/>
      <c r="AC23" s="37"/>
      <c r="AD23" s="37"/>
      <c r="AE23" s="37"/>
      <c r="AH23" s="37"/>
      <c r="AI23" s="39" t="str">
        <f t="shared" si="40"/>
        <v xml:space="preserve"> </v>
      </c>
      <c r="AK23" s="9" t="str">
        <f t="shared" si="41"/>
        <v xml:space="preserve"> </v>
      </c>
      <c r="AL23" s="9" t="str">
        <f t="shared" si="42"/>
        <v xml:space="preserve"> </v>
      </c>
      <c r="AM23" s="6" t="str">
        <f t="shared" si="43"/>
        <v xml:space="preserve"> </v>
      </c>
      <c r="AN23" s="8" t="str">
        <f t="shared" si="44"/>
        <v xml:space="preserve"> </v>
      </c>
      <c r="AO23" s="8" t="str">
        <f t="shared" si="45"/>
        <v xml:space="preserve"> </v>
      </c>
      <c r="AP23" s="40" t="str">
        <f t="shared" si="46"/>
        <v xml:space="preserve"> </v>
      </c>
      <c r="AQ23" s="40" t="str">
        <f t="shared" si="47"/>
        <v xml:space="preserve"> </v>
      </c>
      <c r="AR23" s="40" t="str">
        <f t="shared" si="48"/>
        <v xml:space="preserve"> </v>
      </c>
      <c r="AS23" s="40"/>
      <c r="AT23" s="40" t="str">
        <f t="shared" si="49"/>
        <v xml:space="preserve"> </v>
      </c>
    </row>
    <row r="24" spans="1:46" ht="15" customHeight="1" x14ac:dyDescent="0.25">
      <c r="A24" s="6" t="str">
        <f t="shared" si="28"/>
        <v xml:space="preserve"> </v>
      </c>
      <c r="B24" s="7" t="s">
        <v>36</v>
      </c>
      <c r="C24" s="22" t="s">
        <v>38</v>
      </c>
      <c r="D24" s="13" t="str">
        <f t="shared" ref="D24:D64" si="50">E24&amp;" "&amp;F24</f>
        <v>Projectile Charge</v>
      </c>
      <c r="E24" s="4" t="s">
        <v>65</v>
      </c>
      <c r="F24" s="4" t="s">
        <v>62</v>
      </c>
      <c r="H24" s="32" t="str">
        <f t="shared" si="30"/>
        <v xml:space="preserve"> </v>
      </c>
      <c r="I24" s="8" t="str">
        <f t="shared" si="31"/>
        <v/>
      </c>
      <c r="J24" s="9" t="str">
        <f t="shared" si="32"/>
        <v xml:space="preserve"> </v>
      </c>
      <c r="K24" s="40" t="str">
        <f t="shared" si="33"/>
        <v xml:space="preserve"> </v>
      </c>
      <c r="L24" s="40" t="str">
        <f t="shared" si="34"/>
        <v xml:space="preserve"> </v>
      </c>
      <c r="M24" s="40" t="str">
        <f t="shared" si="35"/>
        <v xml:space="preserve"> </v>
      </c>
      <c r="O24" s="10" t="str">
        <f t="shared" si="36"/>
        <v xml:space="preserve"> </v>
      </c>
      <c r="P24" s="10" t="str">
        <f t="shared" si="37"/>
        <v xml:space="preserve"> </v>
      </c>
      <c r="Q24" s="10" t="str">
        <f t="shared" si="38"/>
        <v xml:space="preserve"> </v>
      </c>
      <c r="R24" s="9" t="e">
        <f t="shared" si="39"/>
        <v>#VALUE!</v>
      </c>
      <c r="X24" s="37"/>
      <c r="Y24" s="37"/>
      <c r="Z24" s="37"/>
      <c r="AA24" s="37"/>
      <c r="AB24" s="37"/>
      <c r="AC24" s="37"/>
      <c r="AD24" s="37"/>
      <c r="AE24" s="37"/>
      <c r="AH24" s="37"/>
      <c r="AI24" s="39" t="str">
        <f t="shared" si="40"/>
        <v xml:space="preserve"> </v>
      </c>
      <c r="AK24" s="9" t="str">
        <f t="shared" si="41"/>
        <v xml:space="preserve"> </v>
      </c>
      <c r="AL24" s="9" t="str">
        <f t="shared" si="42"/>
        <v xml:space="preserve"> </v>
      </c>
      <c r="AM24" s="6" t="str">
        <f t="shared" si="43"/>
        <v xml:space="preserve"> </v>
      </c>
      <c r="AN24" s="8" t="str">
        <f t="shared" si="44"/>
        <v xml:space="preserve"> </v>
      </c>
      <c r="AO24" s="8" t="str">
        <f t="shared" si="45"/>
        <v xml:space="preserve"> </v>
      </c>
      <c r="AP24" s="40" t="str">
        <f t="shared" si="46"/>
        <v xml:space="preserve"> </v>
      </c>
      <c r="AQ24" s="40" t="str">
        <f t="shared" si="47"/>
        <v xml:space="preserve"> </v>
      </c>
      <c r="AR24" s="40" t="str">
        <f t="shared" si="48"/>
        <v xml:space="preserve"> </v>
      </c>
      <c r="AS24" s="40"/>
      <c r="AT24" s="40" t="str">
        <f t="shared" si="49"/>
        <v xml:space="preserve"> </v>
      </c>
    </row>
    <row r="25" spans="1:46" ht="15" customHeight="1" x14ac:dyDescent="0.25">
      <c r="A25" s="6" t="str">
        <f t="shared" si="28"/>
        <v xml:space="preserve"> </v>
      </c>
      <c r="B25" s="7" t="s">
        <v>19</v>
      </c>
      <c r="C25" s="22" t="s">
        <v>38</v>
      </c>
      <c r="D25" s="13" t="str">
        <f t="shared" si="50"/>
        <v>Hitscan Repeater</v>
      </c>
      <c r="E25" s="4" t="s">
        <v>64</v>
      </c>
      <c r="F25" s="4" t="s">
        <v>63</v>
      </c>
      <c r="H25" s="32" t="str">
        <f t="shared" si="30"/>
        <v xml:space="preserve"> </v>
      </c>
      <c r="I25" s="8" t="str">
        <f t="shared" si="31"/>
        <v/>
      </c>
      <c r="J25" s="9" t="str">
        <f t="shared" si="32"/>
        <v xml:space="preserve"> </v>
      </c>
      <c r="K25" s="40" t="str">
        <f t="shared" si="33"/>
        <v xml:space="preserve"> </v>
      </c>
      <c r="L25" s="40" t="str">
        <f t="shared" si="34"/>
        <v xml:space="preserve"> </v>
      </c>
      <c r="M25" s="40" t="str">
        <f t="shared" si="35"/>
        <v xml:space="preserve"> </v>
      </c>
      <c r="O25" s="10" t="str">
        <f t="shared" si="36"/>
        <v xml:space="preserve"> </v>
      </c>
      <c r="P25" s="10" t="str">
        <f t="shared" si="37"/>
        <v xml:space="preserve"> </v>
      </c>
      <c r="Q25" s="10" t="str">
        <f t="shared" si="38"/>
        <v xml:space="preserve"> </v>
      </c>
      <c r="R25" s="9" t="e">
        <f t="shared" si="39"/>
        <v>#VALUE!</v>
      </c>
      <c r="X25" s="37"/>
      <c r="Y25" s="37"/>
      <c r="Z25" s="37"/>
      <c r="AA25" s="37"/>
      <c r="AB25" s="37"/>
      <c r="AC25" s="37"/>
      <c r="AD25" s="37"/>
      <c r="AE25" s="37"/>
      <c r="AH25" s="37"/>
      <c r="AI25" s="39" t="str">
        <f t="shared" si="40"/>
        <v xml:space="preserve"> </v>
      </c>
      <c r="AK25" s="9" t="str">
        <f t="shared" si="41"/>
        <v xml:space="preserve"> </v>
      </c>
      <c r="AL25" s="9" t="str">
        <f t="shared" si="42"/>
        <v xml:space="preserve"> </v>
      </c>
      <c r="AM25" s="6" t="str">
        <f t="shared" si="43"/>
        <v xml:space="preserve"> </v>
      </c>
      <c r="AN25" s="8" t="str">
        <f t="shared" si="44"/>
        <v xml:space="preserve"> </v>
      </c>
      <c r="AO25" s="8" t="str">
        <f t="shared" si="45"/>
        <v xml:space="preserve"> </v>
      </c>
      <c r="AP25" s="40" t="str">
        <f t="shared" si="46"/>
        <v xml:space="preserve"> </v>
      </c>
      <c r="AQ25" s="40" t="str">
        <f t="shared" si="47"/>
        <v xml:space="preserve"> </v>
      </c>
      <c r="AR25" s="40" t="str">
        <f t="shared" si="48"/>
        <v xml:space="preserve"> </v>
      </c>
      <c r="AS25" s="40"/>
      <c r="AT25" s="40" t="str">
        <f t="shared" si="49"/>
        <v xml:space="preserve"> </v>
      </c>
    </row>
    <row r="26" spans="1:46" ht="15" customHeight="1" x14ac:dyDescent="0.25">
      <c r="A26" s="6" t="str">
        <f t="shared" si="28"/>
        <v xml:space="preserve"> </v>
      </c>
      <c r="B26" s="7" t="s">
        <v>54</v>
      </c>
      <c r="C26" s="22" t="s">
        <v>38</v>
      </c>
      <c r="D26" s="13" t="str">
        <f t="shared" si="50"/>
        <v>Projectile Repeater</v>
      </c>
      <c r="E26" s="4" t="s">
        <v>65</v>
      </c>
      <c r="F26" s="4" t="s">
        <v>63</v>
      </c>
      <c r="H26" s="32" t="str">
        <f t="shared" si="30"/>
        <v xml:space="preserve"> </v>
      </c>
      <c r="I26" s="8" t="str">
        <f t="shared" si="31"/>
        <v/>
      </c>
      <c r="J26" s="9" t="str">
        <f t="shared" si="32"/>
        <v xml:space="preserve"> </v>
      </c>
      <c r="K26" s="40" t="str">
        <f t="shared" si="33"/>
        <v xml:space="preserve"> </v>
      </c>
      <c r="L26" s="40" t="str">
        <f t="shared" si="34"/>
        <v xml:space="preserve"> </v>
      </c>
      <c r="M26" s="40" t="str">
        <f t="shared" si="35"/>
        <v xml:space="preserve"> </v>
      </c>
      <c r="O26" s="10" t="str">
        <f t="shared" si="36"/>
        <v xml:space="preserve"> </v>
      </c>
      <c r="P26" s="10" t="str">
        <f t="shared" si="37"/>
        <v xml:space="preserve"> </v>
      </c>
      <c r="Q26" s="10" t="str">
        <f t="shared" si="38"/>
        <v xml:space="preserve"> </v>
      </c>
      <c r="R26" s="9" t="e">
        <f t="shared" si="39"/>
        <v>#VALUE!</v>
      </c>
      <c r="X26" s="37"/>
      <c r="Y26" s="37"/>
      <c r="Z26" s="37"/>
      <c r="AA26" s="37"/>
      <c r="AB26" s="37"/>
      <c r="AC26" s="37"/>
      <c r="AD26" s="37"/>
      <c r="AE26" s="37"/>
      <c r="AH26" s="37"/>
      <c r="AI26" s="39" t="str">
        <f t="shared" si="40"/>
        <v xml:space="preserve"> </v>
      </c>
      <c r="AK26" s="9" t="str">
        <f t="shared" si="41"/>
        <v xml:space="preserve"> </v>
      </c>
      <c r="AL26" s="9" t="str">
        <f t="shared" si="42"/>
        <v xml:space="preserve"> </v>
      </c>
      <c r="AM26" s="6" t="str">
        <f t="shared" si="43"/>
        <v xml:space="preserve"> </v>
      </c>
      <c r="AN26" s="8" t="str">
        <f t="shared" si="44"/>
        <v xml:space="preserve"> </v>
      </c>
      <c r="AO26" s="8" t="str">
        <f t="shared" si="45"/>
        <v xml:space="preserve"> </v>
      </c>
      <c r="AP26" s="40" t="str">
        <f t="shared" si="46"/>
        <v xml:space="preserve"> </v>
      </c>
      <c r="AQ26" s="40" t="str">
        <f t="shared" si="47"/>
        <v xml:space="preserve"> </v>
      </c>
      <c r="AR26" s="40" t="str">
        <f t="shared" si="48"/>
        <v xml:space="preserve"> </v>
      </c>
      <c r="AS26" s="40"/>
      <c r="AT26" s="40" t="str">
        <f t="shared" si="49"/>
        <v xml:space="preserve"> </v>
      </c>
    </row>
    <row r="27" spans="1:46" ht="15" customHeight="1" x14ac:dyDescent="0.25">
      <c r="A27" s="6" t="str">
        <f t="shared" si="28"/>
        <v xml:space="preserve"> </v>
      </c>
      <c r="B27" s="7" t="s">
        <v>31</v>
      </c>
      <c r="C27" s="22" t="s">
        <v>38</v>
      </c>
      <c r="D27" s="13" t="str">
        <f t="shared" si="50"/>
        <v>Hitscan Tracking</v>
      </c>
      <c r="E27" s="4" t="s">
        <v>64</v>
      </c>
      <c r="F27" s="4" t="s">
        <v>91</v>
      </c>
      <c r="H27" s="32" t="str">
        <f t="shared" si="30"/>
        <v xml:space="preserve"> </v>
      </c>
      <c r="I27" s="8" t="str">
        <f t="shared" si="31"/>
        <v/>
      </c>
      <c r="J27" s="9" t="str">
        <f t="shared" si="32"/>
        <v xml:space="preserve"> </v>
      </c>
      <c r="K27" s="40" t="str">
        <f t="shared" si="33"/>
        <v xml:space="preserve"> </v>
      </c>
      <c r="L27" s="40" t="str">
        <f t="shared" si="34"/>
        <v xml:space="preserve"> </v>
      </c>
      <c r="M27" s="40" t="str">
        <f t="shared" si="35"/>
        <v xml:space="preserve"> </v>
      </c>
      <c r="O27" s="10" t="str">
        <f t="shared" si="36"/>
        <v xml:space="preserve"> </v>
      </c>
      <c r="P27" s="10" t="str">
        <f t="shared" si="37"/>
        <v xml:space="preserve"> </v>
      </c>
      <c r="Q27" s="10" t="str">
        <f t="shared" si="38"/>
        <v xml:space="preserve"> </v>
      </c>
      <c r="R27" s="9" t="e">
        <f t="shared" si="39"/>
        <v>#VALUE!</v>
      </c>
      <c r="X27" s="37"/>
      <c r="Y27" s="37"/>
      <c r="Z27" s="37"/>
      <c r="AA27" s="37"/>
      <c r="AB27" s="37"/>
      <c r="AC27" s="37"/>
      <c r="AD27" s="37"/>
      <c r="AE27" s="37"/>
      <c r="AH27" s="37"/>
      <c r="AI27" s="39" t="str">
        <f t="shared" si="40"/>
        <v xml:space="preserve"> </v>
      </c>
      <c r="AK27" s="9" t="str">
        <f t="shared" si="41"/>
        <v xml:space="preserve"> </v>
      </c>
      <c r="AL27" s="9" t="str">
        <f t="shared" si="42"/>
        <v xml:space="preserve"> </v>
      </c>
      <c r="AM27" s="6" t="str">
        <f t="shared" si="43"/>
        <v xml:space="preserve"> </v>
      </c>
      <c r="AN27" s="8" t="str">
        <f t="shared" si="44"/>
        <v xml:space="preserve"> </v>
      </c>
      <c r="AO27" s="8" t="str">
        <f t="shared" si="45"/>
        <v xml:space="preserve"> </v>
      </c>
      <c r="AP27" s="40" t="str">
        <f t="shared" si="46"/>
        <v xml:space="preserve"> </v>
      </c>
      <c r="AQ27" s="40" t="str">
        <f t="shared" si="47"/>
        <v xml:space="preserve"> </v>
      </c>
      <c r="AR27" s="40" t="str">
        <f t="shared" si="48"/>
        <v xml:space="preserve"> </v>
      </c>
      <c r="AS27" s="40"/>
      <c r="AT27" s="40" t="str">
        <f t="shared" si="49"/>
        <v xml:space="preserve"> </v>
      </c>
    </row>
    <row r="28" spans="1:46" ht="15" customHeight="1" x14ac:dyDescent="0.25">
      <c r="A28" s="6" t="str">
        <f t="shared" si="28"/>
        <v xml:space="preserve"> </v>
      </c>
      <c r="B28" s="7" t="s">
        <v>6</v>
      </c>
      <c r="C28" s="22" t="s">
        <v>38</v>
      </c>
      <c r="D28" s="13" t="str">
        <f t="shared" si="50"/>
        <v>Hitscan Tracking</v>
      </c>
      <c r="E28" s="4" t="s">
        <v>64</v>
      </c>
      <c r="F28" s="12" t="s">
        <v>91</v>
      </c>
      <c r="H28" s="32" t="str">
        <f t="shared" si="30"/>
        <v xml:space="preserve"> </v>
      </c>
      <c r="I28" s="8" t="str">
        <f t="shared" si="31"/>
        <v/>
      </c>
      <c r="J28" s="9" t="str">
        <f t="shared" si="32"/>
        <v xml:space="preserve"> </v>
      </c>
      <c r="K28" s="40" t="str">
        <f t="shared" si="33"/>
        <v xml:space="preserve"> </v>
      </c>
      <c r="L28" s="40" t="str">
        <f t="shared" si="34"/>
        <v xml:space="preserve"> </v>
      </c>
      <c r="M28" s="40" t="str">
        <f t="shared" si="35"/>
        <v xml:space="preserve"> </v>
      </c>
      <c r="O28" s="10" t="str">
        <f t="shared" si="36"/>
        <v xml:space="preserve"> </v>
      </c>
      <c r="P28" s="10" t="str">
        <f t="shared" si="37"/>
        <v xml:space="preserve"> </v>
      </c>
      <c r="Q28" s="10" t="str">
        <f t="shared" si="38"/>
        <v xml:space="preserve"> </v>
      </c>
      <c r="R28" s="9" t="e">
        <f t="shared" si="39"/>
        <v>#VALUE!</v>
      </c>
      <c r="X28" s="37"/>
      <c r="Y28" s="37"/>
      <c r="Z28" s="37"/>
      <c r="AA28" s="37"/>
      <c r="AB28" s="37"/>
      <c r="AC28" s="37"/>
      <c r="AD28" s="37"/>
      <c r="AE28" s="37"/>
      <c r="AH28" s="37"/>
      <c r="AI28" s="39" t="str">
        <f t="shared" si="40"/>
        <v xml:space="preserve"> </v>
      </c>
      <c r="AK28" s="9" t="str">
        <f t="shared" si="41"/>
        <v xml:space="preserve"> </v>
      </c>
      <c r="AL28" s="9" t="str">
        <f t="shared" si="42"/>
        <v xml:space="preserve"> </v>
      </c>
      <c r="AM28" s="6" t="str">
        <f t="shared" si="43"/>
        <v xml:space="preserve"> </v>
      </c>
      <c r="AN28" s="8" t="str">
        <f t="shared" si="44"/>
        <v xml:space="preserve"> </v>
      </c>
      <c r="AO28" s="8" t="str">
        <f t="shared" si="45"/>
        <v xml:space="preserve"> </v>
      </c>
      <c r="AP28" s="40" t="str">
        <f t="shared" si="46"/>
        <v xml:space="preserve"> </v>
      </c>
      <c r="AQ28" s="40" t="str">
        <f t="shared" si="47"/>
        <v xml:space="preserve"> </v>
      </c>
      <c r="AR28" s="40" t="str">
        <f t="shared" si="48"/>
        <v xml:space="preserve"> </v>
      </c>
      <c r="AS28" s="40"/>
      <c r="AT28" s="40" t="str">
        <f t="shared" si="49"/>
        <v xml:space="preserve"> </v>
      </c>
    </row>
    <row r="29" spans="1:46" ht="15" customHeight="1" x14ac:dyDescent="0.25">
      <c r="A29" s="6" t="str">
        <f t="shared" si="28"/>
        <v xml:space="preserve"> </v>
      </c>
      <c r="B29" s="7" t="s">
        <v>27</v>
      </c>
      <c r="C29" s="22" t="s">
        <v>38</v>
      </c>
      <c r="D29" s="13" t="str">
        <f t="shared" si="50"/>
        <v>Hitscan Tracking</v>
      </c>
      <c r="E29" s="4" t="s">
        <v>64</v>
      </c>
      <c r="F29" s="4" t="s">
        <v>91</v>
      </c>
      <c r="H29" s="32" t="str">
        <f t="shared" si="30"/>
        <v xml:space="preserve"> </v>
      </c>
      <c r="I29" s="8" t="str">
        <f t="shared" si="31"/>
        <v/>
      </c>
      <c r="J29" s="9" t="str">
        <f t="shared" si="32"/>
        <v xml:space="preserve"> </v>
      </c>
      <c r="K29" s="40" t="str">
        <f t="shared" si="33"/>
        <v xml:space="preserve"> </v>
      </c>
      <c r="L29" s="40" t="str">
        <f t="shared" si="34"/>
        <v xml:space="preserve"> </v>
      </c>
      <c r="M29" s="40" t="str">
        <f t="shared" si="35"/>
        <v xml:space="preserve"> </v>
      </c>
      <c r="O29" s="10" t="str">
        <f t="shared" si="36"/>
        <v xml:space="preserve"> </v>
      </c>
      <c r="P29" s="10" t="str">
        <f t="shared" si="37"/>
        <v xml:space="preserve"> </v>
      </c>
      <c r="Q29" s="10" t="str">
        <f t="shared" si="38"/>
        <v xml:space="preserve"> </v>
      </c>
      <c r="R29" s="9" t="e">
        <f t="shared" si="39"/>
        <v>#VALUE!</v>
      </c>
      <c r="X29" s="37"/>
      <c r="Y29" s="37"/>
      <c r="Z29" s="37"/>
      <c r="AA29" s="37"/>
      <c r="AB29" s="37"/>
      <c r="AC29" s="37"/>
      <c r="AD29" s="37"/>
      <c r="AE29" s="37"/>
      <c r="AH29" s="37"/>
      <c r="AI29" s="39" t="str">
        <f t="shared" si="40"/>
        <v xml:space="preserve"> </v>
      </c>
      <c r="AK29" s="9" t="str">
        <f t="shared" si="41"/>
        <v xml:space="preserve"> </v>
      </c>
      <c r="AL29" s="9" t="str">
        <f t="shared" si="42"/>
        <v xml:space="preserve"> </v>
      </c>
      <c r="AM29" s="6" t="str">
        <f t="shared" si="43"/>
        <v xml:space="preserve"> </v>
      </c>
      <c r="AN29" s="8" t="str">
        <f t="shared" si="44"/>
        <v xml:space="preserve"> </v>
      </c>
      <c r="AO29" s="8" t="str">
        <f t="shared" si="45"/>
        <v xml:space="preserve"> </v>
      </c>
      <c r="AP29" s="40" t="str">
        <f t="shared" si="46"/>
        <v xml:space="preserve"> </v>
      </c>
      <c r="AQ29" s="40" t="str">
        <f t="shared" si="47"/>
        <v xml:space="preserve"> </v>
      </c>
      <c r="AR29" s="40" t="str">
        <f t="shared" si="48"/>
        <v xml:space="preserve"> </v>
      </c>
      <c r="AS29" s="40"/>
      <c r="AT29" s="40" t="str">
        <f t="shared" si="49"/>
        <v xml:space="preserve"> </v>
      </c>
    </row>
    <row r="30" spans="1:46" ht="15" customHeight="1" x14ac:dyDescent="0.25">
      <c r="A30" s="6" t="str">
        <f t="shared" si="28"/>
        <v xml:space="preserve"> </v>
      </c>
      <c r="B30" s="7" t="s">
        <v>22</v>
      </c>
      <c r="C30" s="22" t="s">
        <v>38</v>
      </c>
      <c r="D30" s="13" t="str">
        <f t="shared" si="50"/>
        <v>Projectile Repeater</v>
      </c>
      <c r="E30" s="4" t="s">
        <v>65</v>
      </c>
      <c r="F30" s="4" t="s">
        <v>63</v>
      </c>
      <c r="H30" s="32" t="str">
        <f t="shared" si="30"/>
        <v xml:space="preserve"> </v>
      </c>
      <c r="I30" s="8" t="str">
        <f t="shared" si="31"/>
        <v/>
      </c>
      <c r="J30" s="9" t="str">
        <f t="shared" si="32"/>
        <v xml:space="preserve"> </v>
      </c>
      <c r="K30" s="40" t="str">
        <f t="shared" si="33"/>
        <v xml:space="preserve"> </v>
      </c>
      <c r="L30" s="40" t="str">
        <f t="shared" si="34"/>
        <v xml:space="preserve"> </v>
      </c>
      <c r="M30" s="40" t="str">
        <f t="shared" si="35"/>
        <v xml:space="preserve"> </v>
      </c>
      <c r="O30" s="10" t="str">
        <f t="shared" si="36"/>
        <v xml:space="preserve"> </v>
      </c>
      <c r="P30" s="10" t="str">
        <f t="shared" si="37"/>
        <v xml:space="preserve"> </v>
      </c>
      <c r="Q30" s="10" t="str">
        <f t="shared" si="38"/>
        <v xml:space="preserve"> </v>
      </c>
      <c r="R30" s="9" t="e">
        <f t="shared" si="39"/>
        <v>#VALUE!</v>
      </c>
      <c r="X30" s="37"/>
      <c r="Y30" s="37"/>
      <c r="Z30" s="37"/>
      <c r="AA30" s="37"/>
      <c r="AB30" s="37"/>
      <c r="AC30" s="37"/>
      <c r="AD30" s="37"/>
      <c r="AE30" s="37"/>
      <c r="AH30" s="37"/>
      <c r="AI30" s="39" t="str">
        <f t="shared" si="40"/>
        <v xml:space="preserve"> </v>
      </c>
      <c r="AK30" s="9" t="str">
        <f t="shared" si="41"/>
        <v xml:space="preserve"> </v>
      </c>
      <c r="AL30" s="9" t="str">
        <f t="shared" si="42"/>
        <v xml:space="preserve"> </v>
      </c>
      <c r="AM30" s="6" t="str">
        <f t="shared" si="43"/>
        <v xml:space="preserve"> </v>
      </c>
      <c r="AN30" s="8" t="str">
        <f t="shared" si="44"/>
        <v xml:space="preserve"> </v>
      </c>
      <c r="AO30" s="8" t="str">
        <f t="shared" si="45"/>
        <v xml:space="preserve"> </v>
      </c>
      <c r="AP30" s="40" t="str">
        <f t="shared" si="46"/>
        <v xml:space="preserve"> </v>
      </c>
      <c r="AQ30" s="40" t="str">
        <f t="shared" si="47"/>
        <v xml:space="preserve"> </v>
      </c>
      <c r="AR30" s="40" t="str">
        <f t="shared" si="48"/>
        <v xml:space="preserve"> </v>
      </c>
      <c r="AS30" s="40"/>
      <c r="AT30" s="40" t="str">
        <f t="shared" si="49"/>
        <v xml:space="preserve"> </v>
      </c>
    </row>
    <row r="31" spans="1:46" ht="15" customHeight="1" x14ac:dyDescent="0.25">
      <c r="A31" s="6" t="str">
        <f t="shared" si="28"/>
        <v xml:space="preserve"> </v>
      </c>
      <c r="B31" s="4" t="s">
        <v>50</v>
      </c>
      <c r="C31" s="22" t="s">
        <v>39</v>
      </c>
      <c r="D31" s="13" t="str">
        <f t="shared" si="50"/>
        <v>Hitscan Repeater</v>
      </c>
      <c r="E31" s="4" t="s">
        <v>64</v>
      </c>
      <c r="F31" s="4" t="s">
        <v>63</v>
      </c>
      <c r="H31" s="32" t="str">
        <f t="shared" si="30"/>
        <v xml:space="preserve"> </v>
      </c>
      <c r="I31" s="8" t="str">
        <f t="shared" si="31"/>
        <v/>
      </c>
      <c r="J31" s="9" t="str">
        <f t="shared" si="32"/>
        <v xml:space="preserve"> </v>
      </c>
      <c r="K31" s="40" t="str">
        <f t="shared" si="33"/>
        <v xml:space="preserve"> </v>
      </c>
      <c r="L31" s="40" t="str">
        <f t="shared" si="34"/>
        <v xml:space="preserve"> </v>
      </c>
      <c r="M31" s="40" t="str">
        <f t="shared" si="35"/>
        <v xml:space="preserve"> </v>
      </c>
      <c r="O31" s="10" t="str">
        <f t="shared" si="36"/>
        <v xml:space="preserve"> </v>
      </c>
      <c r="P31" s="10" t="str">
        <f t="shared" si="37"/>
        <v xml:space="preserve"> </v>
      </c>
      <c r="Q31" s="10" t="str">
        <f t="shared" si="38"/>
        <v xml:space="preserve"> </v>
      </c>
      <c r="R31" s="9" t="e">
        <f t="shared" si="39"/>
        <v>#VALUE!</v>
      </c>
      <c r="AH31" s="37"/>
      <c r="AI31" s="39" t="str">
        <f t="shared" si="40"/>
        <v xml:space="preserve"> </v>
      </c>
      <c r="AK31" s="9" t="str">
        <f t="shared" si="41"/>
        <v xml:space="preserve"> </v>
      </c>
      <c r="AL31" s="9" t="str">
        <f t="shared" si="42"/>
        <v xml:space="preserve"> </v>
      </c>
      <c r="AM31" s="6" t="str">
        <f t="shared" si="43"/>
        <v xml:space="preserve"> </v>
      </c>
      <c r="AN31" s="8" t="str">
        <f t="shared" si="44"/>
        <v xml:space="preserve"> </v>
      </c>
      <c r="AO31" s="8" t="str">
        <f t="shared" si="45"/>
        <v xml:space="preserve"> </v>
      </c>
      <c r="AP31" s="40" t="str">
        <f t="shared" si="46"/>
        <v xml:space="preserve"> </v>
      </c>
      <c r="AQ31" s="40" t="str">
        <f t="shared" si="47"/>
        <v xml:space="preserve"> </v>
      </c>
      <c r="AR31" s="40" t="str">
        <f t="shared" si="48"/>
        <v xml:space="preserve"> </v>
      </c>
      <c r="AS31" s="40"/>
      <c r="AT31" s="40" t="str">
        <f t="shared" si="49"/>
        <v xml:space="preserve"> </v>
      </c>
    </row>
    <row r="32" spans="1:46" ht="15" customHeight="1" x14ac:dyDescent="0.25">
      <c r="A32" s="6" t="str">
        <f t="shared" si="28"/>
        <v xml:space="preserve"> </v>
      </c>
      <c r="B32" s="7" t="s">
        <v>9</v>
      </c>
      <c r="C32" s="22" t="s">
        <v>39</v>
      </c>
      <c r="D32" s="13" t="str">
        <f t="shared" si="50"/>
        <v>Hitscan Repeater</v>
      </c>
      <c r="E32" s="4" t="s">
        <v>64</v>
      </c>
      <c r="F32" s="4" t="s">
        <v>63</v>
      </c>
      <c r="H32" s="32" t="str">
        <f t="shared" si="30"/>
        <v xml:space="preserve"> </v>
      </c>
      <c r="I32" s="8" t="str">
        <f t="shared" si="31"/>
        <v/>
      </c>
      <c r="J32" s="9" t="str">
        <f t="shared" si="32"/>
        <v xml:space="preserve"> </v>
      </c>
      <c r="K32" s="40" t="str">
        <f t="shared" si="33"/>
        <v xml:space="preserve"> </v>
      </c>
      <c r="L32" s="40" t="str">
        <f t="shared" si="34"/>
        <v xml:space="preserve"> </v>
      </c>
      <c r="M32" s="40" t="str">
        <f t="shared" si="35"/>
        <v xml:space="preserve"> </v>
      </c>
      <c r="O32" s="10" t="str">
        <f t="shared" si="36"/>
        <v xml:space="preserve"> </v>
      </c>
      <c r="P32" s="10" t="str">
        <f t="shared" si="37"/>
        <v xml:space="preserve"> </v>
      </c>
      <c r="Q32" s="10" t="str">
        <f t="shared" si="38"/>
        <v xml:space="preserve"> </v>
      </c>
      <c r="R32" s="9" t="e">
        <f t="shared" si="39"/>
        <v>#VALUE!</v>
      </c>
      <c r="X32" s="37"/>
      <c r="Y32" s="37"/>
      <c r="Z32" s="37"/>
      <c r="AA32" s="37"/>
      <c r="AB32" s="37"/>
      <c r="AC32" s="37"/>
      <c r="AD32" s="37"/>
      <c r="AE32" s="37"/>
      <c r="AH32" s="37"/>
      <c r="AI32" s="39" t="str">
        <f t="shared" si="40"/>
        <v xml:space="preserve"> </v>
      </c>
      <c r="AK32" s="9" t="str">
        <f t="shared" si="41"/>
        <v xml:space="preserve"> </v>
      </c>
      <c r="AL32" s="9" t="str">
        <f t="shared" si="42"/>
        <v xml:space="preserve"> </v>
      </c>
      <c r="AM32" s="6" t="str">
        <f t="shared" si="43"/>
        <v xml:space="preserve"> </v>
      </c>
      <c r="AN32" s="8" t="str">
        <f t="shared" si="44"/>
        <v xml:space="preserve"> </v>
      </c>
      <c r="AO32" s="8" t="str">
        <f t="shared" si="45"/>
        <v xml:space="preserve"> </v>
      </c>
      <c r="AP32" s="40" t="str">
        <f t="shared" si="46"/>
        <v xml:space="preserve"> </v>
      </c>
      <c r="AQ32" s="40" t="str">
        <f t="shared" si="47"/>
        <v xml:space="preserve"> </v>
      </c>
      <c r="AR32" s="40" t="str">
        <f t="shared" si="48"/>
        <v xml:space="preserve"> </v>
      </c>
      <c r="AS32" s="40"/>
      <c r="AT32" s="40" t="str">
        <f t="shared" si="49"/>
        <v xml:space="preserve"> </v>
      </c>
    </row>
    <row r="33" spans="1:46" ht="15" customHeight="1" x14ac:dyDescent="0.25">
      <c r="A33" s="6" t="str">
        <f t="shared" si="28"/>
        <v xml:space="preserve"> </v>
      </c>
      <c r="B33" s="7" t="s">
        <v>13</v>
      </c>
      <c r="C33" s="22" t="s">
        <v>39</v>
      </c>
      <c r="D33" s="13" t="str">
        <f t="shared" si="50"/>
        <v>Projectile Repeater</v>
      </c>
      <c r="E33" s="4" t="s">
        <v>65</v>
      </c>
      <c r="F33" s="4" t="s">
        <v>63</v>
      </c>
      <c r="H33" s="32" t="str">
        <f t="shared" si="30"/>
        <v xml:space="preserve"> </v>
      </c>
      <c r="I33" s="8" t="str">
        <f t="shared" si="31"/>
        <v/>
      </c>
      <c r="J33" s="9" t="str">
        <f t="shared" si="32"/>
        <v xml:space="preserve"> </v>
      </c>
      <c r="K33" s="40" t="str">
        <f t="shared" si="33"/>
        <v xml:space="preserve"> </v>
      </c>
      <c r="L33" s="40" t="str">
        <f t="shared" si="34"/>
        <v xml:space="preserve"> </v>
      </c>
      <c r="M33" s="40" t="str">
        <f t="shared" si="35"/>
        <v xml:space="preserve"> </v>
      </c>
      <c r="O33" s="10" t="str">
        <f t="shared" si="36"/>
        <v xml:space="preserve"> </v>
      </c>
      <c r="P33" s="10" t="str">
        <f t="shared" si="37"/>
        <v xml:space="preserve"> </v>
      </c>
      <c r="Q33" s="10" t="str">
        <f t="shared" si="38"/>
        <v xml:space="preserve"> </v>
      </c>
      <c r="R33" s="9" t="e">
        <f t="shared" si="39"/>
        <v>#VALUE!</v>
      </c>
      <c r="X33" s="37"/>
      <c r="Y33" s="37"/>
      <c r="Z33" s="37"/>
      <c r="AA33" s="37"/>
      <c r="AB33" s="37"/>
      <c r="AC33" s="37"/>
      <c r="AD33" s="37"/>
      <c r="AE33" s="37"/>
      <c r="AH33" s="37"/>
      <c r="AI33" s="39" t="str">
        <f t="shared" si="40"/>
        <v xml:space="preserve"> </v>
      </c>
      <c r="AK33" s="9" t="str">
        <f t="shared" si="41"/>
        <v xml:space="preserve"> </v>
      </c>
      <c r="AL33" s="9" t="str">
        <f t="shared" si="42"/>
        <v xml:space="preserve"> </v>
      </c>
      <c r="AM33" s="6" t="str">
        <f t="shared" si="43"/>
        <v xml:space="preserve"> </v>
      </c>
      <c r="AN33" s="8" t="str">
        <f t="shared" si="44"/>
        <v xml:space="preserve"> </v>
      </c>
      <c r="AO33" s="8" t="str">
        <f t="shared" si="45"/>
        <v xml:space="preserve"> </v>
      </c>
      <c r="AP33" s="40" t="str">
        <f t="shared" si="46"/>
        <v xml:space="preserve"> </v>
      </c>
      <c r="AQ33" s="40" t="str">
        <f t="shared" si="47"/>
        <v xml:space="preserve"> </v>
      </c>
      <c r="AR33" s="40" t="str">
        <f t="shared" si="48"/>
        <v xml:space="preserve"> </v>
      </c>
      <c r="AS33" s="40"/>
      <c r="AT33" s="40" t="str">
        <f t="shared" si="49"/>
        <v xml:space="preserve"> </v>
      </c>
    </row>
    <row r="34" spans="1:46" ht="15" customHeight="1" x14ac:dyDescent="0.25">
      <c r="A34" s="6" t="str">
        <f t="shared" si="28"/>
        <v xml:space="preserve"> </v>
      </c>
      <c r="B34" s="7" t="s">
        <v>34</v>
      </c>
      <c r="C34" s="22" t="s">
        <v>39</v>
      </c>
      <c r="D34" s="13" t="str">
        <f t="shared" si="50"/>
        <v>Hitscan Projectile Tracking Repeater</v>
      </c>
      <c r="E34" s="12" t="s">
        <v>90</v>
      </c>
      <c r="F34" s="12" t="s">
        <v>92</v>
      </c>
      <c r="H34" s="32" t="str">
        <f t="shared" si="30"/>
        <v xml:space="preserve"> </v>
      </c>
      <c r="I34" s="8" t="str">
        <f t="shared" si="31"/>
        <v/>
      </c>
      <c r="J34" s="9" t="str">
        <f t="shared" si="32"/>
        <v xml:space="preserve"> </v>
      </c>
      <c r="K34" s="40" t="str">
        <f t="shared" si="33"/>
        <v xml:space="preserve"> </v>
      </c>
      <c r="L34" s="40" t="str">
        <f t="shared" si="34"/>
        <v xml:space="preserve"> </v>
      </c>
      <c r="M34" s="40" t="str">
        <f t="shared" si="35"/>
        <v xml:space="preserve"> </v>
      </c>
      <c r="O34" s="10" t="str">
        <f t="shared" si="36"/>
        <v xml:space="preserve"> </v>
      </c>
      <c r="P34" s="10" t="str">
        <f t="shared" si="37"/>
        <v xml:space="preserve"> </v>
      </c>
      <c r="Q34" s="10" t="str">
        <f t="shared" si="38"/>
        <v xml:space="preserve"> </v>
      </c>
      <c r="R34" s="9" t="e">
        <f t="shared" si="39"/>
        <v>#VALUE!</v>
      </c>
      <c r="X34" s="37"/>
      <c r="Y34" s="37"/>
      <c r="Z34" s="37"/>
      <c r="AA34" s="37"/>
      <c r="AB34" s="37"/>
      <c r="AC34" s="37"/>
      <c r="AD34" s="37"/>
      <c r="AE34" s="37"/>
      <c r="AH34" s="37"/>
      <c r="AI34" s="39" t="str">
        <f t="shared" si="40"/>
        <v xml:space="preserve"> </v>
      </c>
      <c r="AK34" s="9" t="str">
        <f t="shared" si="41"/>
        <v xml:space="preserve"> </v>
      </c>
      <c r="AL34" s="9" t="str">
        <f t="shared" si="42"/>
        <v xml:space="preserve"> </v>
      </c>
      <c r="AM34" s="6" t="str">
        <f t="shared" si="43"/>
        <v xml:space="preserve"> </v>
      </c>
      <c r="AN34" s="8" t="str">
        <f t="shared" si="44"/>
        <v xml:space="preserve"> </v>
      </c>
      <c r="AO34" s="8" t="str">
        <f t="shared" si="45"/>
        <v xml:space="preserve"> </v>
      </c>
      <c r="AP34" s="40" t="str">
        <f t="shared" si="46"/>
        <v xml:space="preserve"> </v>
      </c>
      <c r="AQ34" s="40" t="str">
        <f t="shared" si="47"/>
        <v xml:space="preserve"> </v>
      </c>
      <c r="AR34" s="40" t="str">
        <f t="shared" si="48"/>
        <v xml:space="preserve"> </v>
      </c>
      <c r="AS34" s="40"/>
      <c r="AT34" s="40" t="str">
        <f t="shared" si="49"/>
        <v xml:space="preserve"> </v>
      </c>
    </row>
    <row r="35" spans="1:46" ht="15" customHeight="1" x14ac:dyDescent="0.25">
      <c r="A35" s="6" t="str">
        <f t="shared" si="28"/>
        <v xml:space="preserve"> </v>
      </c>
      <c r="B35" s="7" t="s">
        <v>30</v>
      </c>
      <c r="C35" s="22" t="s">
        <v>39</v>
      </c>
      <c r="D35" s="13" t="str">
        <f t="shared" si="50"/>
        <v>Hitscan Repeater</v>
      </c>
      <c r="E35" s="4" t="s">
        <v>64</v>
      </c>
      <c r="F35" s="4" t="s">
        <v>63</v>
      </c>
      <c r="H35" s="32" t="str">
        <f t="shared" si="30"/>
        <v xml:space="preserve"> </v>
      </c>
      <c r="I35" s="8" t="str">
        <f t="shared" si="31"/>
        <v/>
      </c>
      <c r="J35" s="9" t="str">
        <f t="shared" si="32"/>
        <v xml:space="preserve"> </v>
      </c>
      <c r="K35" s="40" t="str">
        <f t="shared" si="33"/>
        <v xml:space="preserve"> </v>
      </c>
      <c r="L35" s="40" t="str">
        <f t="shared" si="34"/>
        <v xml:space="preserve"> </v>
      </c>
      <c r="M35" s="40" t="str">
        <f t="shared" si="35"/>
        <v xml:space="preserve"> </v>
      </c>
      <c r="O35" s="10" t="str">
        <f t="shared" si="36"/>
        <v xml:space="preserve"> </v>
      </c>
      <c r="P35" s="10" t="str">
        <f t="shared" si="37"/>
        <v xml:space="preserve"> </v>
      </c>
      <c r="Q35" s="10" t="str">
        <f t="shared" si="38"/>
        <v xml:space="preserve"> </v>
      </c>
      <c r="R35" s="9" t="e">
        <f t="shared" si="39"/>
        <v>#VALUE!</v>
      </c>
      <c r="X35" s="37"/>
      <c r="Y35" s="37"/>
      <c r="Z35" s="37"/>
      <c r="AA35" s="37"/>
      <c r="AB35" s="37"/>
      <c r="AC35" s="37"/>
      <c r="AD35" s="37"/>
      <c r="AE35" s="37"/>
      <c r="AH35" s="37"/>
      <c r="AI35" s="39" t="str">
        <f t="shared" si="40"/>
        <v xml:space="preserve"> </v>
      </c>
      <c r="AK35" s="9" t="str">
        <f t="shared" si="41"/>
        <v xml:space="preserve"> </v>
      </c>
      <c r="AL35" s="9" t="str">
        <f t="shared" si="42"/>
        <v xml:space="preserve"> </v>
      </c>
      <c r="AM35" s="6" t="str">
        <f t="shared" si="43"/>
        <v xml:space="preserve"> </v>
      </c>
      <c r="AN35" s="8" t="str">
        <f t="shared" si="44"/>
        <v xml:space="preserve"> </v>
      </c>
      <c r="AO35" s="8" t="str">
        <f t="shared" si="45"/>
        <v xml:space="preserve"> </v>
      </c>
      <c r="AP35" s="40" t="str">
        <f t="shared" si="46"/>
        <v xml:space="preserve"> </v>
      </c>
      <c r="AQ35" s="40" t="str">
        <f t="shared" si="47"/>
        <v xml:space="preserve"> </v>
      </c>
      <c r="AR35" s="40" t="str">
        <f t="shared" si="48"/>
        <v xml:space="preserve"> </v>
      </c>
      <c r="AS35" s="40"/>
      <c r="AT35" s="40" t="str">
        <f t="shared" si="49"/>
        <v xml:space="preserve"> </v>
      </c>
    </row>
    <row r="36" spans="1:46" ht="15" customHeight="1" x14ac:dyDescent="0.25">
      <c r="A36" s="6" t="str">
        <f t="shared" si="28"/>
        <v xml:space="preserve"> </v>
      </c>
      <c r="B36" s="7" t="s">
        <v>20</v>
      </c>
      <c r="C36" s="22" t="s">
        <v>39</v>
      </c>
      <c r="D36" s="13" t="str">
        <f t="shared" si="50"/>
        <v>Projectile Arc</v>
      </c>
      <c r="E36" s="4" t="s">
        <v>65</v>
      </c>
      <c r="F36" s="4" t="s">
        <v>66</v>
      </c>
      <c r="H36" s="32" t="str">
        <f t="shared" si="30"/>
        <v xml:space="preserve"> </v>
      </c>
      <c r="I36" s="8" t="str">
        <f t="shared" si="31"/>
        <v/>
      </c>
      <c r="J36" s="9" t="str">
        <f t="shared" si="32"/>
        <v xml:space="preserve"> </v>
      </c>
      <c r="K36" s="40" t="str">
        <f t="shared" si="33"/>
        <v xml:space="preserve"> </v>
      </c>
      <c r="L36" s="40" t="str">
        <f t="shared" si="34"/>
        <v xml:space="preserve"> </v>
      </c>
      <c r="M36" s="40" t="str">
        <f t="shared" si="35"/>
        <v xml:space="preserve"> </v>
      </c>
      <c r="O36" s="10" t="str">
        <f t="shared" si="36"/>
        <v xml:space="preserve"> </v>
      </c>
      <c r="P36" s="10" t="str">
        <f t="shared" si="37"/>
        <v xml:space="preserve"> </v>
      </c>
      <c r="Q36" s="10" t="str">
        <f t="shared" si="38"/>
        <v xml:space="preserve"> </v>
      </c>
      <c r="R36" s="9" t="e">
        <f t="shared" si="39"/>
        <v>#VALUE!</v>
      </c>
      <c r="X36" s="37"/>
      <c r="Y36" s="37"/>
      <c r="Z36" s="37"/>
      <c r="AA36" s="37"/>
      <c r="AB36" s="37"/>
      <c r="AC36" s="37"/>
      <c r="AD36" s="37"/>
      <c r="AE36" s="37"/>
      <c r="AH36" s="37"/>
      <c r="AI36" s="39" t="str">
        <f t="shared" si="40"/>
        <v xml:space="preserve"> </v>
      </c>
      <c r="AK36" s="9" t="str">
        <f t="shared" si="41"/>
        <v xml:space="preserve"> </v>
      </c>
      <c r="AL36" s="9" t="str">
        <f t="shared" si="42"/>
        <v xml:space="preserve"> </v>
      </c>
      <c r="AM36" s="6" t="str">
        <f t="shared" si="43"/>
        <v xml:space="preserve"> </v>
      </c>
      <c r="AN36" s="8" t="str">
        <f t="shared" si="44"/>
        <v xml:space="preserve"> </v>
      </c>
      <c r="AO36" s="8" t="str">
        <f t="shared" si="45"/>
        <v xml:space="preserve"> </v>
      </c>
      <c r="AP36" s="40" t="str">
        <f t="shared" si="46"/>
        <v xml:space="preserve"> </v>
      </c>
      <c r="AQ36" s="40" t="str">
        <f t="shared" si="47"/>
        <v xml:space="preserve"> </v>
      </c>
      <c r="AR36" s="40" t="str">
        <f t="shared" si="48"/>
        <v xml:space="preserve"> </v>
      </c>
      <c r="AS36" s="40"/>
      <c r="AT36" s="40" t="str">
        <f t="shared" si="49"/>
        <v xml:space="preserve"> </v>
      </c>
    </row>
    <row r="37" spans="1:46" ht="15" customHeight="1" x14ac:dyDescent="0.25">
      <c r="A37" s="6" t="str">
        <f t="shared" si="28"/>
        <v xml:space="preserve"> </v>
      </c>
      <c r="B37" s="7" t="s">
        <v>33</v>
      </c>
      <c r="C37" s="22" t="s">
        <v>39</v>
      </c>
      <c r="D37" s="13" t="str">
        <f t="shared" si="50"/>
        <v>Projectile Tracking Repeater</v>
      </c>
      <c r="E37" s="4" t="s">
        <v>65</v>
      </c>
      <c r="F37" s="12" t="s">
        <v>92</v>
      </c>
      <c r="H37" s="32" t="str">
        <f t="shared" si="30"/>
        <v xml:space="preserve"> </v>
      </c>
      <c r="I37" s="8" t="str">
        <f t="shared" si="31"/>
        <v/>
      </c>
      <c r="J37" s="9" t="str">
        <f t="shared" si="32"/>
        <v xml:space="preserve"> </v>
      </c>
      <c r="K37" s="40" t="str">
        <f t="shared" si="33"/>
        <v xml:space="preserve"> </v>
      </c>
      <c r="L37" s="40" t="str">
        <f t="shared" si="34"/>
        <v xml:space="preserve"> </v>
      </c>
      <c r="M37" s="40" t="str">
        <f t="shared" si="35"/>
        <v xml:space="preserve"> </v>
      </c>
      <c r="O37" s="10" t="str">
        <f t="shared" si="36"/>
        <v xml:space="preserve"> </v>
      </c>
      <c r="P37" s="10" t="str">
        <f t="shared" si="37"/>
        <v xml:space="preserve"> </v>
      </c>
      <c r="Q37" s="10" t="str">
        <f t="shared" si="38"/>
        <v xml:space="preserve"> </v>
      </c>
      <c r="R37" s="9" t="e">
        <f t="shared" si="39"/>
        <v>#VALUE!</v>
      </c>
      <c r="X37" s="37"/>
      <c r="Y37" s="37"/>
      <c r="Z37" s="37"/>
      <c r="AA37" s="37"/>
      <c r="AB37" s="37"/>
      <c r="AC37" s="37"/>
      <c r="AD37" s="37"/>
      <c r="AE37" s="37"/>
      <c r="AH37" s="37"/>
      <c r="AI37" s="39" t="str">
        <f t="shared" si="40"/>
        <v xml:space="preserve"> </v>
      </c>
      <c r="AK37" s="9" t="str">
        <f t="shared" si="41"/>
        <v xml:space="preserve"> </v>
      </c>
      <c r="AL37" s="9" t="str">
        <f t="shared" si="42"/>
        <v xml:space="preserve"> </v>
      </c>
      <c r="AM37" s="6" t="str">
        <f t="shared" si="43"/>
        <v xml:space="preserve"> </v>
      </c>
      <c r="AN37" s="8" t="str">
        <f t="shared" si="44"/>
        <v xml:space="preserve"> </v>
      </c>
      <c r="AO37" s="8" t="str">
        <f t="shared" si="45"/>
        <v xml:space="preserve"> </v>
      </c>
      <c r="AP37" s="40" t="str">
        <f t="shared" si="46"/>
        <v xml:space="preserve"> </v>
      </c>
      <c r="AQ37" s="40" t="str">
        <f t="shared" si="47"/>
        <v xml:space="preserve"> </v>
      </c>
      <c r="AR37" s="40" t="str">
        <f t="shared" si="48"/>
        <v xml:space="preserve"> </v>
      </c>
      <c r="AS37" s="40"/>
      <c r="AT37" s="40" t="str">
        <f t="shared" si="49"/>
        <v xml:space="preserve"> </v>
      </c>
    </row>
    <row r="38" spans="1:46" ht="15" customHeight="1" x14ac:dyDescent="0.25">
      <c r="A38" s="6" t="str">
        <f t="shared" si="28"/>
        <v xml:space="preserve"> </v>
      </c>
      <c r="B38" s="7" t="s">
        <v>29</v>
      </c>
      <c r="C38" s="22" t="s">
        <v>39</v>
      </c>
      <c r="D38" s="13" t="str">
        <f t="shared" si="50"/>
        <v>Hitscan Tracking</v>
      </c>
      <c r="E38" s="4" t="s">
        <v>64</v>
      </c>
      <c r="F38" s="4" t="s">
        <v>91</v>
      </c>
      <c r="H38" s="32" t="str">
        <f t="shared" si="30"/>
        <v xml:space="preserve"> </v>
      </c>
      <c r="I38" s="8" t="str">
        <f t="shared" si="31"/>
        <v/>
      </c>
      <c r="J38" s="9" t="str">
        <f t="shared" si="32"/>
        <v xml:space="preserve"> </v>
      </c>
      <c r="K38" s="40" t="str">
        <f t="shared" si="33"/>
        <v xml:space="preserve"> </v>
      </c>
      <c r="L38" s="40" t="str">
        <f t="shared" si="34"/>
        <v xml:space="preserve"> </v>
      </c>
      <c r="M38" s="40" t="str">
        <f t="shared" si="35"/>
        <v xml:space="preserve"> </v>
      </c>
      <c r="O38" s="10" t="str">
        <f t="shared" si="36"/>
        <v xml:space="preserve"> </v>
      </c>
      <c r="P38" s="10" t="str">
        <f t="shared" si="37"/>
        <v xml:space="preserve"> </v>
      </c>
      <c r="Q38" s="10" t="str">
        <f t="shared" si="38"/>
        <v xml:space="preserve"> </v>
      </c>
      <c r="R38" s="9" t="e">
        <f t="shared" si="39"/>
        <v>#VALUE!</v>
      </c>
      <c r="X38" s="37"/>
      <c r="Y38" s="37"/>
      <c r="Z38" s="37"/>
      <c r="AA38" s="37"/>
      <c r="AB38" s="37"/>
      <c r="AC38" s="37"/>
      <c r="AD38" s="37"/>
      <c r="AE38" s="37"/>
      <c r="AH38" s="37"/>
      <c r="AI38" s="39" t="str">
        <f t="shared" si="40"/>
        <v xml:space="preserve"> </v>
      </c>
      <c r="AK38" s="9" t="str">
        <f t="shared" si="41"/>
        <v xml:space="preserve"> </v>
      </c>
      <c r="AL38" s="9" t="str">
        <f t="shared" si="42"/>
        <v xml:space="preserve"> </v>
      </c>
      <c r="AM38" s="6" t="str">
        <f t="shared" si="43"/>
        <v xml:space="preserve"> </v>
      </c>
      <c r="AN38" s="8" t="str">
        <f t="shared" si="44"/>
        <v xml:space="preserve"> </v>
      </c>
      <c r="AO38" s="8" t="str">
        <f t="shared" si="45"/>
        <v xml:space="preserve"> </v>
      </c>
      <c r="AP38" s="40" t="str">
        <f t="shared" si="46"/>
        <v xml:space="preserve"> </v>
      </c>
      <c r="AQ38" s="40" t="str">
        <f t="shared" si="47"/>
        <v xml:space="preserve"> </v>
      </c>
      <c r="AR38" s="40" t="str">
        <f t="shared" si="48"/>
        <v xml:space="preserve"> </v>
      </c>
      <c r="AS38" s="40"/>
      <c r="AT38" s="40" t="str">
        <f t="shared" si="49"/>
        <v xml:space="preserve"> </v>
      </c>
    </row>
    <row r="39" spans="1:46" ht="15" customHeight="1" x14ac:dyDescent="0.25">
      <c r="A39" s="6" t="str">
        <f t="shared" si="28"/>
        <v xml:space="preserve"> </v>
      </c>
      <c r="B39" s="7" t="s">
        <v>35</v>
      </c>
      <c r="C39" s="22" t="s">
        <v>39</v>
      </c>
      <c r="D39" s="13" t="str">
        <f t="shared" si="50"/>
        <v>Hitscan Tracking</v>
      </c>
      <c r="E39" s="4" t="s">
        <v>64</v>
      </c>
      <c r="F39" s="4" t="s">
        <v>91</v>
      </c>
      <c r="H39" s="32" t="str">
        <f t="shared" si="30"/>
        <v xml:space="preserve"> </v>
      </c>
      <c r="I39" s="8" t="str">
        <f t="shared" si="31"/>
        <v/>
      </c>
      <c r="J39" s="9" t="str">
        <f t="shared" si="32"/>
        <v xml:space="preserve"> </v>
      </c>
      <c r="K39" s="40" t="str">
        <f t="shared" si="33"/>
        <v xml:space="preserve"> </v>
      </c>
      <c r="L39" s="40" t="str">
        <f t="shared" si="34"/>
        <v xml:space="preserve"> </v>
      </c>
      <c r="M39" s="40" t="str">
        <f t="shared" si="35"/>
        <v xml:space="preserve"> </v>
      </c>
      <c r="O39" s="10" t="str">
        <f t="shared" si="36"/>
        <v xml:space="preserve"> </v>
      </c>
      <c r="P39" s="10" t="str">
        <f t="shared" si="37"/>
        <v xml:space="preserve"> </v>
      </c>
      <c r="Q39" s="10" t="str">
        <f t="shared" si="38"/>
        <v xml:space="preserve"> </v>
      </c>
      <c r="R39" s="9" t="e">
        <f t="shared" si="39"/>
        <v>#VALUE!</v>
      </c>
      <c r="X39" s="37"/>
      <c r="Y39" s="37"/>
      <c r="Z39" s="37"/>
      <c r="AA39" s="37"/>
      <c r="AB39" s="37"/>
      <c r="AC39" s="37"/>
      <c r="AD39" s="37"/>
      <c r="AE39" s="37"/>
      <c r="AH39" s="37"/>
      <c r="AI39" s="39" t="str">
        <f t="shared" si="40"/>
        <v xml:space="preserve"> </v>
      </c>
      <c r="AK39" s="9" t="str">
        <f t="shared" si="41"/>
        <v xml:space="preserve"> </v>
      </c>
      <c r="AL39" s="9" t="str">
        <f t="shared" si="42"/>
        <v xml:space="preserve"> </v>
      </c>
      <c r="AM39" s="6" t="str">
        <f t="shared" si="43"/>
        <v xml:space="preserve"> </v>
      </c>
      <c r="AN39" s="8" t="str">
        <f t="shared" si="44"/>
        <v xml:space="preserve"> </v>
      </c>
      <c r="AO39" s="8" t="str">
        <f t="shared" si="45"/>
        <v xml:space="preserve"> </v>
      </c>
      <c r="AP39" s="40" t="str">
        <f t="shared" si="46"/>
        <v xml:space="preserve"> </v>
      </c>
      <c r="AQ39" s="40" t="str">
        <f t="shared" si="47"/>
        <v xml:space="preserve"> </v>
      </c>
      <c r="AR39" s="40" t="str">
        <f t="shared" si="48"/>
        <v xml:space="preserve"> </v>
      </c>
      <c r="AS39" s="40"/>
      <c r="AT39" s="40" t="str">
        <f t="shared" si="49"/>
        <v xml:space="preserve"> </v>
      </c>
    </row>
    <row r="40" spans="1:46" ht="15" customHeight="1" x14ac:dyDescent="0.25">
      <c r="A40" s="6" t="str">
        <f t="shared" si="28"/>
        <v xml:space="preserve"> </v>
      </c>
      <c r="B40" s="7" t="s">
        <v>120</v>
      </c>
      <c r="C40" s="22" t="s">
        <v>39</v>
      </c>
      <c r="D40" s="13" t="str">
        <f t="shared" si="50"/>
        <v>Projectile Tracking</v>
      </c>
      <c r="E40" s="4" t="s">
        <v>65</v>
      </c>
      <c r="F40" s="4" t="s">
        <v>91</v>
      </c>
      <c r="H40" s="32" t="str">
        <f t="shared" si="30"/>
        <v xml:space="preserve"> </v>
      </c>
      <c r="I40" s="8" t="str">
        <f t="shared" si="31"/>
        <v/>
      </c>
      <c r="J40" s="9" t="str">
        <f t="shared" si="32"/>
        <v xml:space="preserve"> </v>
      </c>
      <c r="K40" s="40" t="str">
        <f t="shared" si="33"/>
        <v xml:space="preserve"> </v>
      </c>
      <c r="L40" s="40" t="str">
        <f t="shared" si="34"/>
        <v xml:space="preserve"> </v>
      </c>
      <c r="M40" s="40" t="str">
        <f t="shared" si="35"/>
        <v xml:space="preserve"> </v>
      </c>
      <c r="O40" s="10" t="str">
        <f t="shared" si="36"/>
        <v xml:space="preserve"> </v>
      </c>
      <c r="P40" s="10" t="str">
        <f t="shared" si="37"/>
        <v xml:space="preserve"> </v>
      </c>
      <c r="Q40" s="10" t="str">
        <f t="shared" si="38"/>
        <v xml:space="preserve"> </v>
      </c>
      <c r="R40" s="9" t="e">
        <f t="shared" si="39"/>
        <v>#VALUE!</v>
      </c>
      <c r="X40" s="37"/>
      <c r="Y40" s="37"/>
      <c r="Z40" s="37"/>
      <c r="AA40" s="37"/>
      <c r="AB40" s="37"/>
      <c r="AC40" s="37"/>
      <c r="AD40" s="37"/>
      <c r="AE40" s="37"/>
      <c r="AH40" s="37"/>
      <c r="AI40" s="39" t="str">
        <f t="shared" si="40"/>
        <v xml:space="preserve"> </v>
      </c>
      <c r="AK40" s="9" t="str">
        <f t="shared" si="41"/>
        <v xml:space="preserve"> </v>
      </c>
      <c r="AL40" s="9" t="str">
        <f t="shared" si="42"/>
        <v xml:space="preserve"> </v>
      </c>
      <c r="AM40" s="6" t="str">
        <f t="shared" si="43"/>
        <v xml:space="preserve"> </v>
      </c>
      <c r="AN40" s="8" t="str">
        <f t="shared" si="44"/>
        <v xml:space="preserve"> </v>
      </c>
      <c r="AO40" s="8" t="str">
        <f t="shared" si="45"/>
        <v xml:space="preserve"> </v>
      </c>
      <c r="AP40" s="40" t="str">
        <f t="shared" si="46"/>
        <v xml:space="preserve"> </v>
      </c>
      <c r="AQ40" s="40" t="str">
        <f t="shared" si="47"/>
        <v xml:space="preserve"> </v>
      </c>
      <c r="AR40" s="40" t="str">
        <f t="shared" si="48"/>
        <v xml:space="preserve"> </v>
      </c>
      <c r="AS40" s="40"/>
      <c r="AT40" s="40" t="str">
        <f t="shared" si="49"/>
        <v xml:space="preserve"> </v>
      </c>
    </row>
    <row r="41" spans="1:46" ht="15" customHeight="1" x14ac:dyDescent="0.25">
      <c r="A41" s="6" t="str">
        <f t="shared" si="28"/>
        <v xml:space="preserve"> </v>
      </c>
      <c r="B41" s="7" t="s">
        <v>105</v>
      </c>
      <c r="C41" s="22" t="s">
        <v>39</v>
      </c>
      <c r="D41" s="13" t="str">
        <f t="shared" si="50"/>
        <v>Projectile Repeater</v>
      </c>
      <c r="E41" s="4" t="s">
        <v>65</v>
      </c>
      <c r="F41" s="4" t="s">
        <v>63</v>
      </c>
      <c r="H41" s="32" t="str">
        <f t="shared" si="30"/>
        <v xml:space="preserve"> </v>
      </c>
      <c r="I41" s="8" t="str">
        <f t="shared" si="31"/>
        <v/>
      </c>
      <c r="J41" s="9" t="str">
        <f t="shared" si="32"/>
        <v xml:space="preserve"> </v>
      </c>
      <c r="K41" s="40" t="str">
        <f t="shared" si="33"/>
        <v xml:space="preserve"> </v>
      </c>
      <c r="L41" s="40" t="str">
        <f t="shared" si="34"/>
        <v xml:space="preserve"> </v>
      </c>
      <c r="M41" s="40" t="str">
        <f t="shared" si="35"/>
        <v xml:space="preserve"> </v>
      </c>
      <c r="O41" s="10" t="str">
        <f t="shared" si="36"/>
        <v xml:space="preserve"> </v>
      </c>
      <c r="P41" s="10" t="str">
        <f t="shared" si="37"/>
        <v xml:space="preserve"> </v>
      </c>
      <c r="Q41" s="10" t="str">
        <f t="shared" si="38"/>
        <v xml:space="preserve"> </v>
      </c>
      <c r="R41" s="9" t="e">
        <f t="shared" si="39"/>
        <v>#VALUE!</v>
      </c>
      <c r="X41" s="37"/>
      <c r="Y41" s="37"/>
      <c r="Z41" s="37"/>
      <c r="AA41" s="37"/>
      <c r="AB41" s="37"/>
      <c r="AC41" s="37"/>
      <c r="AD41" s="37"/>
      <c r="AE41" s="37"/>
      <c r="AH41" s="37"/>
      <c r="AI41" s="39" t="str">
        <f t="shared" si="40"/>
        <v xml:space="preserve"> </v>
      </c>
      <c r="AK41" s="9" t="str">
        <f t="shared" si="41"/>
        <v xml:space="preserve"> </v>
      </c>
      <c r="AL41" s="9" t="str">
        <f t="shared" si="42"/>
        <v xml:space="preserve"> </v>
      </c>
      <c r="AM41" s="6" t="str">
        <f t="shared" si="43"/>
        <v xml:space="preserve"> </v>
      </c>
      <c r="AN41" s="8" t="str">
        <f t="shared" si="44"/>
        <v xml:space="preserve"> </v>
      </c>
      <c r="AO41" s="8" t="str">
        <f t="shared" si="45"/>
        <v xml:space="preserve"> </v>
      </c>
      <c r="AP41" s="40" t="str">
        <f t="shared" si="46"/>
        <v xml:space="preserve"> </v>
      </c>
      <c r="AQ41" s="40" t="str">
        <f t="shared" si="47"/>
        <v xml:space="preserve"> </v>
      </c>
      <c r="AR41" s="40" t="str">
        <f t="shared" si="48"/>
        <v xml:space="preserve"> </v>
      </c>
      <c r="AS41" s="40"/>
      <c r="AT41" s="40" t="str">
        <f t="shared" si="49"/>
        <v xml:space="preserve"> </v>
      </c>
    </row>
    <row r="42" spans="1:46" ht="15" customHeight="1" x14ac:dyDescent="0.25">
      <c r="A42" s="6" t="str">
        <f t="shared" si="28"/>
        <v xml:space="preserve"> </v>
      </c>
      <c r="B42" s="7" t="s">
        <v>28</v>
      </c>
      <c r="C42" s="22" t="s">
        <v>39</v>
      </c>
      <c r="D42" s="13" t="str">
        <f t="shared" si="50"/>
        <v>Projectile Repeater</v>
      </c>
      <c r="E42" s="4" t="s">
        <v>65</v>
      </c>
      <c r="F42" s="4" t="s">
        <v>63</v>
      </c>
      <c r="H42" s="32" t="str">
        <f t="shared" si="30"/>
        <v xml:space="preserve"> </v>
      </c>
      <c r="I42" s="8" t="str">
        <f t="shared" si="31"/>
        <v/>
      </c>
      <c r="J42" s="9" t="str">
        <f t="shared" si="32"/>
        <v xml:space="preserve"> </v>
      </c>
      <c r="K42" s="40" t="str">
        <f t="shared" si="33"/>
        <v xml:space="preserve"> </v>
      </c>
      <c r="L42" s="40" t="str">
        <f t="shared" si="34"/>
        <v xml:space="preserve"> </v>
      </c>
      <c r="M42" s="40" t="str">
        <f t="shared" si="35"/>
        <v xml:space="preserve"> </v>
      </c>
      <c r="O42" s="10" t="str">
        <f t="shared" si="36"/>
        <v xml:space="preserve"> </v>
      </c>
      <c r="P42" s="10" t="str">
        <f t="shared" si="37"/>
        <v xml:space="preserve"> </v>
      </c>
      <c r="Q42" s="10" t="str">
        <f t="shared" si="38"/>
        <v xml:space="preserve"> </v>
      </c>
      <c r="R42" s="9" t="e">
        <f t="shared" si="39"/>
        <v>#VALUE!</v>
      </c>
      <c r="AH42" s="37"/>
      <c r="AI42" s="39" t="str">
        <f t="shared" si="40"/>
        <v xml:space="preserve"> </v>
      </c>
      <c r="AK42" s="9" t="str">
        <f t="shared" si="41"/>
        <v xml:space="preserve"> </v>
      </c>
      <c r="AL42" s="9" t="str">
        <f t="shared" si="42"/>
        <v xml:space="preserve"> </v>
      </c>
      <c r="AM42" s="6" t="str">
        <f t="shared" si="43"/>
        <v xml:space="preserve"> </v>
      </c>
      <c r="AN42" s="8" t="str">
        <f t="shared" si="44"/>
        <v xml:space="preserve"> </v>
      </c>
      <c r="AO42" s="8" t="str">
        <f t="shared" si="45"/>
        <v xml:space="preserve"> </v>
      </c>
      <c r="AP42" s="40" t="str">
        <f t="shared" si="46"/>
        <v xml:space="preserve"> </v>
      </c>
      <c r="AQ42" s="40" t="str">
        <f t="shared" si="47"/>
        <v xml:space="preserve"> </v>
      </c>
      <c r="AR42" s="40" t="str">
        <f t="shared" si="48"/>
        <v xml:space="preserve"> </v>
      </c>
      <c r="AS42" s="40"/>
      <c r="AT42" s="40" t="str">
        <f t="shared" si="49"/>
        <v xml:space="preserve"> </v>
      </c>
    </row>
    <row r="43" spans="1:46" ht="15" customHeight="1" x14ac:dyDescent="0.25">
      <c r="A43" s="6" t="str">
        <f t="shared" si="28"/>
        <v xml:space="preserve"> </v>
      </c>
      <c r="B43" s="4" t="s">
        <v>10</v>
      </c>
      <c r="C43" s="22" t="s">
        <v>37</v>
      </c>
      <c r="D43" s="13" t="str">
        <f t="shared" si="50"/>
        <v>Projectile Repeater</v>
      </c>
      <c r="E43" s="4" t="s">
        <v>65</v>
      </c>
      <c r="F43" s="4" t="s">
        <v>63</v>
      </c>
      <c r="H43" s="32" t="str">
        <f t="shared" si="30"/>
        <v xml:space="preserve"> </v>
      </c>
      <c r="I43" s="8" t="str">
        <f t="shared" si="31"/>
        <v/>
      </c>
      <c r="J43" s="9" t="str">
        <f t="shared" si="32"/>
        <v xml:space="preserve"> </v>
      </c>
      <c r="K43" s="40" t="str">
        <f t="shared" si="33"/>
        <v xml:space="preserve"> </v>
      </c>
      <c r="L43" s="40" t="str">
        <f t="shared" si="34"/>
        <v xml:space="preserve"> </v>
      </c>
      <c r="M43" s="40" t="str">
        <f t="shared" si="35"/>
        <v xml:space="preserve"> </v>
      </c>
      <c r="O43" s="10" t="str">
        <f t="shared" si="36"/>
        <v xml:space="preserve"> </v>
      </c>
      <c r="P43" s="10" t="str">
        <f t="shared" si="37"/>
        <v xml:space="preserve"> </v>
      </c>
      <c r="Q43" s="10" t="str">
        <f t="shared" si="38"/>
        <v xml:space="preserve"> </v>
      </c>
      <c r="R43" s="9" t="e">
        <f t="shared" si="39"/>
        <v>#VALUE!</v>
      </c>
      <c r="X43" s="37"/>
      <c r="Y43" s="37"/>
      <c r="Z43" s="37"/>
      <c r="AA43" s="37"/>
      <c r="AB43" s="37"/>
      <c r="AC43" s="37"/>
      <c r="AD43" s="37"/>
      <c r="AE43" s="37"/>
      <c r="AH43" s="37"/>
      <c r="AI43" s="39" t="str">
        <f t="shared" si="40"/>
        <v xml:space="preserve"> </v>
      </c>
      <c r="AK43" s="9" t="str">
        <f t="shared" si="41"/>
        <v xml:space="preserve"> </v>
      </c>
      <c r="AL43" s="9" t="str">
        <f t="shared" si="42"/>
        <v xml:space="preserve"> </v>
      </c>
      <c r="AM43" s="6" t="str">
        <f t="shared" si="43"/>
        <v xml:space="preserve"> </v>
      </c>
      <c r="AN43" s="8" t="str">
        <f t="shared" si="44"/>
        <v xml:space="preserve"> </v>
      </c>
      <c r="AO43" s="8" t="str">
        <f t="shared" si="45"/>
        <v xml:space="preserve"> </v>
      </c>
      <c r="AP43" s="40" t="str">
        <f t="shared" si="46"/>
        <v xml:space="preserve"> </v>
      </c>
      <c r="AQ43" s="40" t="str">
        <f t="shared" si="47"/>
        <v xml:space="preserve"> </v>
      </c>
      <c r="AR43" s="40" t="str">
        <f t="shared" si="48"/>
        <v xml:space="preserve"> </v>
      </c>
      <c r="AS43" s="40"/>
      <c r="AT43" s="40" t="str">
        <f t="shared" si="49"/>
        <v xml:space="preserve"> </v>
      </c>
    </row>
    <row r="44" spans="1:46" ht="15" customHeight="1" x14ac:dyDescent="0.25">
      <c r="A44" s="6" t="str">
        <f t="shared" si="28"/>
        <v xml:space="preserve"> </v>
      </c>
      <c r="B44" s="7" t="s">
        <v>48</v>
      </c>
      <c r="C44" s="24" t="s">
        <v>37</v>
      </c>
      <c r="D44" s="13" t="str">
        <f t="shared" si="50"/>
        <v>Hitscan Charge</v>
      </c>
      <c r="E44" s="4" t="s">
        <v>64</v>
      </c>
      <c r="F44" s="4" t="s">
        <v>62</v>
      </c>
      <c r="H44" s="32" t="str">
        <f t="shared" si="30"/>
        <v xml:space="preserve"> </v>
      </c>
      <c r="I44" s="8" t="str">
        <f t="shared" si="31"/>
        <v/>
      </c>
      <c r="J44" s="9" t="str">
        <f t="shared" si="32"/>
        <v xml:space="preserve"> </v>
      </c>
      <c r="K44" s="40" t="str">
        <f t="shared" si="33"/>
        <v xml:space="preserve"> </v>
      </c>
      <c r="L44" s="40" t="str">
        <f t="shared" si="34"/>
        <v xml:space="preserve"> </v>
      </c>
      <c r="M44" s="40" t="str">
        <f t="shared" si="35"/>
        <v xml:space="preserve"> </v>
      </c>
      <c r="O44" s="10" t="str">
        <f t="shared" si="36"/>
        <v xml:space="preserve"> </v>
      </c>
      <c r="P44" s="10" t="str">
        <f t="shared" si="37"/>
        <v xml:space="preserve"> </v>
      </c>
      <c r="Q44" s="10" t="str">
        <f t="shared" si="38"/>
        <v xml:space="preserve"> </v>
      </c>
      <c r="R44" s="9" t="e">
        <f t="shared" si="39"/>
        <v>#VALUE!</v>
      </c>
      <c r="X44" s="37"/>
      <c r="Y44" s="37"/>
      <c r="Z44" s="37"/>
      <c r="AA44" s="37"/>
      <c r="AB44" s="37"/>
      <c r="AC44" s="37"/>
      <c r="AD44" s="37"/>
      <c r="AE44" s="37"/>
      <c r="AH44" s="37"/>
      <c r="AI44" s="39" t="str">
        <f t="shared" si="40"/>
        <v xml:space="preserve"> </v>
      </c>
      <c r="AK44" s="9" t="str">
        <f t="shared" si="41"/>
        <v xml:space="preserve"> </v>
      </c>
      <c r="AL44" s="9" t="str">
        <f t="shared" si="42"/>
        <v xml:space="preserve"> </v>
      </c>
      <c r="AM44" s="6" t="str">
        <f t="shared" si="43"/>
        <v xml:space="preserve"> </v>
      </c>
      <c r="AN44" s="8" t="str">
        <f t="shared" si="44"/>
        <v xml:space="preserve"> </v>
      </c>
      <c r="AO44" s="8" t="str">
        <f t="shared" si="45"/>
        <v xml:space="preserve"> </v>
      </c>
      <c r="AP44" s="40" t="str">
        <f t="shared" si="46"/>
        <v xml:space="preserve"> </v>
      </c>
      <c r="AQ44" s="40" t="str">
        <f t="shared" si="47"/>
        <v xml:space="preserve"> </v>
      </c>
      <c r="AR44" s="40" t="str">
        <f t="shared" si="48"/>
        <v xml:space="preserve"> </v>
      </c>
      <c r="AS44" s="40"/>
      <c r="AT44" s="40" t="str">
        <f t="shared" si="49"/>
        <v xml:space="preserve"> </v>
      </c>
    </row>
    <row r="45" spans="1:46" ht="15" customHeight="1" x14ac:dyDescent="0.25">
      <c r="A45" s="6" t="str">
        <f t="shared" si="28"/>
        <v xml:space="preserve"> </v>
      </c>
      <c r="B45" s="7" t="s">
        <v>5</v>
      </c>
      <c r="C45" s="22" t="s">
        <v>37</v>
      </c>
      <c r="D45" s="13" t="str">
        <f t="shared" si="50"/>
        <v>Hitscan Projectile Repeater</v>
      </c>
      <c r="E45" s="12" t="s">
        <v>90</v>
      </c>
      <c r="F45" s="4" t="s">
        <v>63</v>
      </c>
      <c r="H45" s="32" t="str">
        <f t="shared" si="30"/>
        <v xml:space="preserve"> </v>
      </c>
      <c r="I45" s="8" t="str">
        <f t="shared" si="31"/>
        <v/>
      </c>
      <c r="J45" s="9" t="str">
        <f t="shared" si="32"/>
        <v xml:space="preserve"> </v>
      </c>
      <c r="K45" s="40" t="str">
        <f t="shared" si="33"/>
        <v xml:space="preserve"> </v>
      </c>
      <c r="L45" s="40" t="str">
        <f t="shared" si="34"/>
        <v xml:space="preserve"> </v>
      </c>
      <c r="M45" s="40" t="str">
        <f t="shared" si="35"/>
        <v xml:space="preserve"> </v>
      </c>
      <c r="O45" s="10" t="str">
        <f t="shared" si="36"/>
        <v xml:space="preserve"> </v>
      </c>
      <c r="P45" s="10" t="str">
        <f t="shared" si="37"/>
        <v xml:space="preserve"> </v>
      </c>
      <c r="Q45" s="10" t="str">
        <f t="shared" si="38"/>
        <v xml:space="preserve"> </v>
      </c>
      <c r="R45" s="9" t="e">
        <f t="shared" si="39"/>
        <v>#VALUE!</v>
      </c>
      <c r="X45" s="37"/>
      <c r="Y45" s="37"/>
      <c r="Z45" s="37"/>
      <c r="AA45" s="37"/>
      <c r="AB45" s="37"/>
      <c r="AC45" s="37"/>
      <c r="AD45" s="37"/>
      <c r="AE45" s="37"/>
      <c r="AH45" s="37"/>
      <c r="AI45" s="39" t="str">
        <f t="shared" si="40"/>
        <v xml:space="preserve"> </v>
      </c>
      <c r="AK45" s="9" t="str">
        <f t="shared" si="41"/>
        <v xml:space="preserve"> </v>
      </c>
      <c r="AL45" s="9" t="str">
        <f t="shared" si="42"/>
        <v xml:space="preserve"> </v>
      </c>
      <c r="AM45" s="6" t="str">
        <f t="shared" si="43"/>
        <v xml:space="preserve"> </v>
      </c>
      <c r="AN45" s="8" t="str">
        <f t="shared" si="44"/>
        <v xml:space="preserve"> </v>
      </c>
      <c r="AO45" s="8" t="str">
        <f t="shared" si="45"/>
        <v xml:space="preserve"> </v>
      </c>
      <c r="AP45" s="40" t="str">
        <f t="shared" si="46"/>
        <v xml:space="preserve"> </v>
      </c>
      <c r="AQ45" s="40" t="str">
        <f t="shared" si="47"/>
        <v xml:space="preserve"> </v>
      </c>
      <c r="AR45" s="40" t="str">
        <f t="shared" si="48"/>
        <v xml:space="preserve"> </v>
      </c>
      <c r="AS45" s="40"/>
      <c r="AT45" s="40" t="str">
        <f t="shared" si="49"/>
        <v xml:space="preserve"> </v>
      </c>
    </row>
    <row r="46" spans="1:46" ht="15" customHeight="1" x14ac:dyDescent="0.25">
      <c r="A46" s="6" t="str">
        <f t="shared" si="28"/>
        <v xml:space="preserve"> </v>
      </c>
      <c r="B46" s="7" t="s">
        <v>0</v>
      </c>
      <c r="C46" s="22" t="s">
        <v>37</v>
      </c>
      <c r="D46" s="13" t="str">
        <f t="shared" si="50"/>
        <v>Projectile Tracking</v>
      </c>
      <c r="E46" s="4" t="s">
        <v>65</v>
      </c>
      <c r="F46" s="4" t="s">
        <v>91</v>
      </c>
      <c r="H46" s="32" t="str">
        <f t="shared" si="30"/>
        <v xml:space="preserve"> </v>
      </c>
      <c r="I46" s="8" t="str">
        <f t="shared" si="31"/>
        <v/>
      </c>
      <c r="J46" s="9" t="str">
        <f t="shared" si="32"/>
        <v xml:space="preserve"> </v>
      </c>
      <c r="K46" s="40" t="str">
        <f t="shared" si="33"/>
        <v xml:space="preserve"> </v>
      </c>
      <c r="L46" s="40" t="str">
        <f t="shared" si="34"/>
        <v xml:space="preserve"> </v>
      </c>
      <c r="M46" s="40" t="str">
        <f t="shared" si="35"/>
        <v xml:space="preserve"> </v>
      </c>
      <c r="O46" s="10" t="str">
        <f t="shared" si="36"/>
        <v xml:space="preserve"> </v>
      </c>
      <c r="P46" s="10" t="str">
        <f t="shared" si="37"/>
        <v xml:space="preserve"> </v>
      </c>
      <c r="Q46" s="10" t="str">
        <f t="shared" si="38"/>
        <v xml:space="preserve"> </v>
      </c>
      <c r="R46" s="9" t="e">
        <f t="shared" si="39"/>
        <v>#VALUE!</v>
      </c>
      <c r="X46" s="37"/>
      <c r="Y46" s="37"/>
      <c r="Z46" s="37"/>
      <c r="AA46" s="37"/>
      <c r="AB46" s="37"/>
      <c r="AC46" s="37"/>
      <c r="AD46" s="37"/>
      <c r="AE46" s="37"/>
      <c r="AH46" s="37"/>
      <c r="AI46" s="39" t="str">
        <f t="shared" si="40"/>
        <v xml:space="preserve"> </v>
      </c>
      <c r="AK46" s="9" t="str">
        <f t="shared" si="41"/>
        <v xml:space="preserve"> </v>
      </c>
      <c r="AL46" s="9" t="str">
        <f t="shared" si="42"/>
        <v xml:space="preserve"> </v>
      </c>
      <c r="AM46" s="6" t="str">
        <f t="shared" si="43"/>
        <v xml:space="preserve"> </v>
      </c>
      <c r="AN46" s="8" t="str">
        <f t="shared" si="44"/>
        <v xml:space="preserve"> </v>
      </c>
      <c r="AO46" s="8" t="str">
        <f t="shared" si="45"/>
        <v xml:space="preserve"> </v>
      </c>
      <c r="AP46" s="40" t="str">
        <f t="shared" si="46"/>
        <v xml:space="preserve"> </v>
      </c>
      <c r="AQ46" s="40" t="str">
        <f t="shared" si="47"/>
        <v xml:space="preserve"> </v>
      </c>
      <c r="AR46" s="40" t="str">
        <f t="shared" si="48"/>
        <v xml:space="preserve"> </v>
      </c>
      <c r="AS46" s="40"/>
      <c r="AT46" s="40" t="str">
        <f t="shared" si="49"/>
        <v xml:space="preserve"> </v>
      </c>
    </row>
    <row r="47" spans="1:46" ht="15" customHeight="1" x14ac:dyDescent="0.25">
      <c r="A47" s="6" t="str">
        <f t="shared" si="28"/>
        <v xml:space="preserve"> </v>
      </c>
      <c r="B47" s="7" t="s">
        <v>2</v>
      </c>
      <c r="C47" s="22" t="s">
        <v>37</v>
      </c>
      <c r="D47" s="13" t="str">
        <f t="shared" si="50"/>
        <v>Projectile Tracking</v>
      </c>
      <c r="E47" s="4" t="s">
        <v>65</v>
      </c>
      <c r="F47" s="4" t="s">
        <v>91</v>
      </c>
      <c r="H47" s="32" t="str">
        <f t="shared" si="30"/>
        <v xml:space="preserve"> </v>
      </c>
      <c r="I47" s="8" t="str">
        <f t="shared" si="31"/>
        <v/>
      </c>
      <c r="J47" s="9" t="str">
        <f t="shared" si="32"/>
        <v xml:space="preserve"> </v>
      </c>
      <c r="K47" s="40" t="str">
        <f t="shared" si="33"/>
        <v xml:space="preserve"> </v>
      </c>
      <c r="L47" s="40" t="str">
        <f t="shared" si="34"/>
        <v xml:space="preserve"> </v>
      </c>
      <c r="M47" s="40" t="str">
        <f t="shared" si="35"/>
        <v xml:space="preserve"> </v>
      </c>
      <c r="O47" s="10" t="str">
        <f t="shared" si="36"/>
        <v xml:space="preserve"> </v>
      </c>
      <c r="P47" s="10" t="str">
        <f t="shared" si="37"/>
        <v xml:space="preserve"> </v>
      </c>
      <c r="Q47" s="10" t="str">
        <f t="shared" si="38"/>
        <v xml:space="preserve"> </v>
      </c>
      <c r="R47" s="9" t="e">
        <f t="shared" si="39"/>
        <v>#VALUE!</v>
      </c>
      <c r="X47" s="37"/>
      <c r="Y47" s="37"/>
      <c r="Z47" s="37"/>
      <c r="AA47" s="37"/>
      <c r="AB47" s="37"/>
      <c r="AC47" s="37"/>
      <c r="AD47" s="37"/>
      <c r="AE47" s="37"/>
      <c r="AH47" s="37"/>
      <c r="AI47" s="39" t="str">
        <f t="shared" si="40"/>
        <v xml:space="preserve"> </v>
      </c>
      <c r="AK47" s="9" t="str">
        <f t="shared" si="41"/>
        <v xml:space="preserve"> </v>
      </c>
      <c r="AL47" s="9" t="str">
        <f t="shared" si="42"/>
        <v xml:space="preserve"> </v>
      </c>
      <c r="AM47" s="6" t="str">
        <f t="shared" si="43"/>
        <v xml:space="preserve"> </v>
      </c>
      <c r="AN47" s="8" t="str">
        <f t="shared" si="44"/>
        <v xml:space="preserve"> </v>
      </c>
      <c r="AO47" s="8" t="str">
        <f t="shared" si="45"/>
        <v xml:space="preserve"> </v>
      </c>
      <c r="AP47" s="40" t="str">
        <f t="shared" si="46"/>
        <v xml:space="preserve"> </v>
      </c>
      <c r="AQ47" s="40" t="str">
        <f t="shared" si="47"/>
        <v xml:space="preserve"> </v>
      </c>
      <c r="AR47" s="40" t="str">
        <f t="shared" si="48"/>
        <v xml:space="preserve"> </v>
      </c>
      <c r="AS47" s="40"/>
      <c r="AT47" s="40" t="str">
        <f t="shared" si="49"/>
        <v xml:space="preserve"> </v>
      </c>
    </row>
    <row r="48" spans="1:46" ht="15" customHeight="1" x14ac:dyDescent="0.25">
      <c r="A48" s="6" t="str">
        <f t="shared" ref="A48:A64" si="51">IF(H48=" "," ",(((M48*LOG(H48)^10)/(LOG(H48)^10+9))*(((J48*I48*LOG(H48)^10)/(LOG(H48)^10+9))/(12.8))))</f>
        <v xml:space="preserve"> </v>
      </c>
      <c r="B48" s="7" t="s">
        <v>15</v>
      </c>
      <c r="C48" s="22" t="s">
        <v>37</v>
      </c>
      <c r="D48" s="13" t="str">
        <f t="shared" si="50"/>
        <v>Hitscan Tracking</v>
      </c>
      <c r="E48" s="4" t="s">
        <v>64</v>
      </c>
      <c r="F48" s="4" t="s">
        <v>91</v>
      </c>
      <c r="H48" s="32" t="str">
        <f t="shared" ref="H48:H64" si="52">IF(ISBLANK(AF48)," ",AF48+AG48)</f>
        <v xml:space="preserve"> </v>
      </c>
      <c r="I48" s="8" t="str">
        <f t="shared" ref="I48:I64" si="53">IF(ISBLANK(AF48),"",AF48/(AF48+AG48))</f>
        <v/>
      </c>
      <c r="J48" s="9" t="str">
        <f t="shared" ref="J48:J64" si="54">IF(ISBLANK(V48)," ",(V48+X48/2)/W48)</f>
        <v xml:space="preserve"> </v>
      </c>
      <c r="K48" s="40" t="str">
        <f t="shared" ref="K48:K64" si="55">IF(Y48&gt;0,Y48/AH48," ")</f>
        <v xml:space="preserve"> </v>
      </c>
      <c r="L48" s="40" t="str">
        <f t="shared" ref="L48:L64" si="56">IF(AC48&gt;0,(AC48)/AH48," ")</f>
        <v xml:space="preserve"> </v>
      </c>
      <c r="M48" s="40" t="str">
        <f t="shared" ref="M48:M64" si="57">IF(U48&gt;0,U48/AH48," ")</f>
        <v xml:space="preserve"> </v>
      </c>
      <c r="O48" s="10" t="str">
        <f t="shared" ref="O48:O64" si="58">IF(ISBLANK(AF48)," ",IF((P48+H48)&lt;=SUMIF($C$2:$C$6,C48,$F$2:$F$6),SUMIF($C$2:$C$6,C48,$F$2:$F$6)-H48,P48))</f>
        <v xml:space="preserve"> </v>
      </c>
      <c r="P48" s="10" t="str">
        <f t="shared" ref="P48:P64" si="59">IF(ISBLANK(AF48)," ",_xlfn.CEILING.MATH(((SUMIF($C$2:$C$6,C48,$D$2:$D$6)-1)*AF48+SUMIF($C$2:$C$6,C48,$D$2:$D$6)*AG48)/(1-SUMIF($C$2:$C$6,C48,$D$2:$D$6))))</f>
        <v xml:space="preserve"> </v>
      </c>
      <c r="Q48" s="10" t="str">
        <f t="shared" ref="Q48:Q64" si="60">IF(ISBLANK(V48)," ",_xlfn.CEILING.MATH(SUMIF($C$2:$C$6,C48,$E$2:$E$6)*W48-V48-X48/2))</f>
        <v xml:space="preserve"> </v>
      </c>
      <c r="R48" s="9" t="e">
        <f t="shared" ref="R48:R64" si="61">IF(AND(O48&gt;0,Q48&gt;0),Q48/O48,(IF(AND(O48&lt;=0,Q48&gt;0),Q48,0)))</f>
        <v>#VALUE!</v>
      </c>
      <c r="X48" s="37"/>
      <c r="Y48" s="37"/>
      <c r="Z48" s="37"/>
      <c r="AA48" s="37"/>
      <c r="AB48" s="37"/>
      <c r="AC48" s="37"/>
      <c r="AD48" s="37"/>
      <c r="AE48" s="37"/>
      <c r="AH48" s="37"/>
      <c r="AI48" s="39" t="str">
        <f t="shared" ref="AI48:AI64" si="62">IF(AH48&gt;0,AH48/1440," ")</f>
        <v xml:space="preserve"> </v>
      </c>
      <c r="AK48" s="9" t="str">
        <f t="shared" ref="AK48:AK64" si="63">IF(V48&gt;0,V48/AH48," ")</f>
        <v xml:space="preserve"> </v>
      </c>
      <c r="AL48" s="9" t="str">
        <f t="shared" ref="AL48:AL64" si="64">IF(W48&gt;0,W48/AH48," ")</f>
        <v xml:space="preserve"> </v>
      </c>
      <c r="AM48" s="6" t="str">
        <f t="shared" ref="AM48:AM64" si="65">IF(X48&gt;0,X48/AH48," ")</f>
        <v xml:space="preserve"> </v>
      </c>
      <c r="AN48" s="8" t="str">
        <f t="shared" ref="AN48:AN64" si="66">IF(Y48&gt;0,Z48/Y48," ")</f>
        <v xml:space="preserve"> </v>
      </c>
      <c r="AO48" s="8" t="str">
        <f t="shared" ref="AO48:AO64" si="67">IF(Y48&gt;0,(Y48-Z48)/Y48," ")</f>
        <v xml:space="preserve"> </v>
      </c>
      <c r="AP48" s="40" t="str">
        <f t="shared" ref="AP48:AP64" si="68">IF(AA48&gt;0,AA48/AH48," ")</f>
        <v xml:space="preserve"> </v>
      </c>
      <c r="AQ48" s="40" t="str">
        <f t="shared" ref="AQ48:AQ64" si="69">IF(AE48&gt;0,AE48/AH48," ")</f>
        <v xml:space="preserve"> </v>
      </c>
      <c r="AR48" s="40" t="str">
        <f t="shared" ref="AR48:AR64" si="70">IF(AB48&gt;0,AB48/AH48," ")</f>
        <v xml:space="preserve"> </v>
      </c>
      <c r="AS48" s="40"/>
      <c r="AT48" s="40" t="str">
        <f t="shared" ref="AT48:AT64" si="71">IF(ISBLANK(AH48)," ",(AC48+AD48)/AH48)</f>
        <v xml:space="preserve"> </v>
      </c>
    </row>
    <row r="49" spans="1:46" ht="15" customHeight="1" x14ac:dyDescent="0.25">
      <c r="A49" s="6" t="str">
        <f t="shared" si="51"/>
        <v xml:space="preserve"> </v>
      </c>
      <c r="B49" s="7" t="s">
        <v>1</v>
      </c>
      <c r="C49" s="22" t="s">
        <v>37</v>
      </c>
      <c r="D49" s="13" t="str">
        <f t="shared" si="50"/>
        <v>Projectile Arc</v>
      </c>
      <c r="E49" s="4" t="s">
        <v>65</v>
      </c>
      <c r="F49" s="4" t="s">
        <v>66</v>
      </c>
      <c r="H49" s="32" t="str">
        <f t="shared" si="52"/>
        <v xml:space="preserve"> </v>
      </c>
      <c r="I49" s="8" t="str">
        <f t="shared" si="53"/>
        <v/>
      </c>
      <c r="J49" s="9" t="str">
        <f t="shared" si="54"/>
        <v xml:space="preserve"> </v>
      </c>
      <c r="K49" s="40" t="str">
        <f t="shared" si="55"/>
        <v xml:space="preserve"> </v>
      </c>
      <c r="L49" s="40" t="str">
        <f t="shared" si="56"/>
        <v xml:space="preserve"> </v>
      </c>
      <c r="M49" s="40" t="str">
        <f t="shared" si="57"/>
        <v xml:space="preserve"> </v>
      </c>
      <c r="O49" s="10" t="str">
        <f t="shared" si="58"/>
        <v xml:space="preserve"> </v>
      </c>
      <c r="P49" s="10" t="str">
        <f t="shared" si="59"/>
        <v xml:space="preserve"> </v>
      </c>
      <c r="Q49" s="10" t="str">
        <f t="shared" si="60"/>
        <v xml:space="preserve"> </v>
      </c>
      <c r="R49" s="9" t="e">
        <f t="shared" si="61"/>
        <v>#VALUE!</v>
      </c>
      <c r="X49" s="37"/>
      <c r="Y49" s="37"/>
      <c r="Z49" s="37"/>
      <c r="AA49" s="37"/>
      <c r="AB49" s="37"/>
      <c r="AC49" s="37"/>
      <c r="AD49" s="37"/>
      <c r="AE49" s="37"/>
      <c r="AH49" s="37"/>
      <c r="AI49" s="39" t="str">
        <f t="shared" si="62"/>
        <v xml:space="preserve"> </v>
      </c>
      <c r="AK49" s="9" t="str">
        <f t="shared" si="63"/>
        <v xml:space="preserve"> </v>
      </c>
      <c r="AL49" s="9" t="str">
        <f t="shared" si="64"/>
        <v xml:space="preserve"> </v>
      </c>
      <c r="AM49" s="6" t="str">
        <f t="shared" si="65"/>
        <v xml:space="preserve"> </v>
      </c>
      <c r="AN49" s="8" t="str">
        <f t="shared" si="66"/>
        <v xml:space="preserve"> </v>
      </c>
      <c r="AO49" s="8" t="str">
        <f t="shared" si="67"/>
        <v xml:space="preserve"> </v>
      </c>
      <c r="AP49" s="40" t="str">
        <f t="shared" si="68"/>
        <v xml:space="preserve"> </v>
      </c>
      <c r="AQ49" s="40" t="str">
        <f t="shared" si="69"/>
        <v xml:space="preserve"> </v>
      </c>
      <c r="AR49" s="40" t="str">
        <f t="shared" si="70"/>
        <v xml:space="preserve"> </v>
      </c>
      <c r="AS49" s="40"/>
      <c r="AT49" s="40" t="str">
        <f t="shared" si="71"/>
        <v xml:space="preserve"> </v>
      </c>
    </row>
    <row r="50" spans="1:46" ht="15" customHeight="1" x14ac:dyDescent="0.25">
      <c r="A50" s="6" t="str">
        <f t="shared" si="51"/>
        <v xml:space="preserve"> </v>
      </c>
      <c r="B50" s="7" t="s">
        <v>53</v>
      </c>
      <c r="C50" s="22" t="s">
        <v>37</v>
      </c>
      <c r="D50" s="13" t="str">
        <f t="shared" si="50"/>
        <v>Hitscan Tracking</v>
      </c>
      <c r="E50" s="4" t="s">
        <v>64</v>
      </c>
      <c r="F50" s="4" t="s">
        <v>91</v>
      </c>
      <c r="H50" s="32" t="str">
        <f t="shared" si="52"/>
        <v xml:space="preserve"> </v>
      </c>
      <c r="I50" s="8" t="str">
        <f t="shared" si="53"/>
        <v/>
      </c>
      <c r="J50" s="9" t="str">
        <f t="shared" si="54"/>
        <v xml:space="preserve"> </v>
      </c>
      <c r="K50" s="40" t="str">
        <f t="shared" si="55"/>
        <v xml:space="preserve"> </v>
      </c>
      <c r="L50" s="40" t="str">
        <f t="shared" si="56"/>
        <v xml:space="preserve"> </v>
      </c>
      <c r="M50" s="40" t="str">
        <f t="shared" si="57"/>
        <v xml:space="preserve"> </v>
      </c>
      <c r="O50" s="10" t="str">
        <f t="shared" si="58"/>
        <v xml:space="preserve"> </v>
      </c>
      <c r="P50" s="10" t="str">
        <f t="shared" si="59"/>
        <v xml:space="preserve"> </v>
      </c>
      <c r="Q50" s="10" t="str">
        <f t="shared" si="60"/>
        <v xml:space="preserve"> </v>
      </c>
      <c r="R50" s="9" t="e">
        <f t="shared" si="61"/>
        <v>#VALUE!</v>
      </c>
      <c r="X50" s="37"/>
      <c r="Y50" s="37"/>
      <c r="Z50" s="37"/>
      <c r="AA50" s="37"/>
      <c r="AB50" s="37"/>
      <c r="AC50" s="37"/>
      <c r="AD50" s="37"/>
      <c r="AE50" s="37"/>
      <c r="AH50" s="37"/>
      <c r="AI50" s="39" t="str">
        <f t="shared" si="62"/>
        <v xml:space="preserve"> </v>
      </c>
      <c r="AK50" s="9" t="str">
        <f t="shared" si="63"/>
        <v xml:space="preserve"> </v>
      </c>
      <c r="AL50" s="9" t="str">
        <f t="shared" si="64"/>
        <v xml:space="preserve"> </v>
      </c>
      <c r="AM50" s="6" t="str">
        <f t="shared" si="65"/>
        <v xml:space="preserve"> </v>
      </c>
      <c r="AN50" s="8" t="str">
        <f t="shared" si="66"/>
        <v xml:space="preserve"> </v>
      </c>
      <c r="AO50" s="8" t="str">
        <f t="shared" si="67"/>
        <v xml:space="preserve"> </v>
      </c>
      <c r="AP50" s="40" t="str">
        <f t="shared" si="68"/>
        <v xml:space="preserve"> </v>
      </c>
      <c r="AQ50" s="40" t="str">
        <f t="shared" si="69"/>
        <v xml:space="preserve"> </v>
      </c>
      <c r="AR50" s="40" t="str">
        <f t="shared" si="70"/>
        <v xml:space="preserve"> </v>
      </c>
      <c r="AS50" s="40"/>
      <c r="AT50" s="40" t="str">
        <f t="shared" si="71"/>
        <v xml:space="preserve"> </v>
      </c>
    </row>
    <row r="51" spans="1:46" ht="15" customHeight="1" x14ac:dyDescent="0.25">
      <c r="A51" s="6" t="str">
        <f t="shared" si="51"/>
        <v xml:space="preserve"> </v>
      </c>
      <c r="B51" s="7" t="s">
        <v>3</v>
      </c>
      <c r="C51" s="22" t="s">
        <v>37</v>
      </c>
      <c r="D51" s="13" t="str">
        <f t="shared" si="50"/>
        <v>Hitscan Tracking</v>
      </c>
      <c r="E51" s="4" t="s">
        <v>64</v>
      </c>
      <c r="F51" s="4" t="s">
        <v>91</v>
      </c>
      <c r="H51" s="32" t="str">
        <f t="shared" si="52"/>
        <v xml:space="preserve"> </v>
      </c>
      <c r="I51" s="8" t="str">
        <f t="shared" si="53"/>
        <v/>
      </c>
      <c r="J51" s="9" t="str">
        <f t="shared" si="54"/>
        <v xml:space="preserve"> </v>
      </c>
      <c r="K51" s="40" t="str">
        <f t="shared" si="55"/>
        <v xml:space="preserve"> </v>
      </c>
      <c r="L51" s="40" t="str">
        <f t="shared" si="56"/>
        <v xml:space="preserve"> </v>
      </c>
      <c r="M51" s="40" t="str">
        <f t="shared" si="57"/>
        <v xml:space="preserve"> </v>
      </c>
      <c r="O51" s="10" t="str">
        <f t="shared" si="58"/>
        <v xml:space="preserve"> </v>
      </c>
      <c r="P51" s="10" t="str">
        <f t="shared" si="59"/>
        <v xml:space="preserve"> </v>
      </c>
      <c r="Q51" s="10" t="str">
        <f t="shared" si="60"/>
        <v xml:space="preserve"> </v>
      </c>
      <c r="R51" s="9" t="e">
        <f t="shared" si="61"/>
        <v>#VALUE!</v>
      </c>
      <c r="X51" s="37"/>
      <c r="Y51" s="37"/>
      <c r="Z51" s="37"/>
      <c r="AA51" s="37"/>
      <c r="AB51" s="37"/>
      <c r="AC51" s="37"/>
      <c r="AD51" s="37"/>
      <c r="AE51" s="37"/>
      <c r="AH51" s="37"/>
      <c r="AI51" s="39" t="str">
        <f t="shared" si="62"/>
        <v xml:space="preserve"> </v>
      </c>
      <c r="AK51" s="9" t="str">
        <f t="shared" si="63"/>
        <v xml:space="preserve"> </v>
      </c>
      <c r="AL51" s="9" t="str">
        <f t="shared" si="64"/>
        <v xml:space="preserve"> </v>
      </c>
      <c r="AM51" s="6" t="str">
        <f t="shared" si="65"/>
        <v xml:space="preserve"> </v>
      </c>
      <c r="AN51" s="8" t="str">
        <f t="shared" si="66"/>
        <v xml:space="preserve"> </v>
      </c>
      <c r="AO51" s="8" t="str">
        <f t="shared" si="67"/>
        <v xml:space="preserve"> </v>
      </c>
      <c r="AP51" s="40" t="str">
        <f t="shared" si="68"/>
        <v xml:space="preserve"> </v>
      </c>
      <c r="AQ51" s="40" t="str">
        <f t="shared" si="69"/>
        <v xml:space="preserve"> </v>
      </c>
      <c r="AR51" s="40" t="str">
        <f t="shared" si="70"/>
        <v xml:space="preserve"> </v>
      </c>
      <c r="AS51" s="40"/>
      <c r="AT51" s="40" t="str">
        <f t="shared" si="71"/>
        <v xml:space="preserve"> </v>
      </c>
    </row>
    <row r="52" spans="1:46" ht="15" customHeight="1" x14ac:dyDescent="0.25">
      <c r="A52" s="6" t="str">
        <f t="shared" si="51"/>
        <v xml:space="preserve"> </v>
      </c>
      <c r="B52" s="7" t="s">
        <v>18</v>
      </c>
      <c r="C52" s="22" t="s">
        <v>37</v>
      </c>
      <c r="D52" s="13" t="str">
        <f t="shared" si="50"/>
        <v>Projectile Melee</v>
      </c>
      <c r="E52" s="4" t="s">
        <v>65</v>
      </c>
      <c r="F52" s="4" t="s">
        <v>67</v>
      </c>
      <c r="H52" s="32" t="str">
        <f t="shared" si="52"/>
        <v xml:space="preserve"> </v>
      </c>
      <c r="I52" s="8" t="str">
        <f t="shared" si="53"/>
        <v/>
      </c>
      <c r="J52" s="9" t="str">
        <f t="shared" si="54"/>
        <v xml:space="preserve"> </v>
      </c>
      <c r="K52" s="40" t="str">
        <f t="shared" si="55"/>
        <v xml:space="preserve"> </v>
      </c>
      <c r="L52" s="40" t="str">
        <f t="shared" si="56"/>
        <v xml:space="preserve"> </v>
      </c>
      <c r="M52" s="40" t="str">
        <f t="shared" si="57"/>
        <v xml:space="preserve"> </v>
      </c>
      <c r="O52" s="10" t="str">
        <f t="shared" si="58"/>
        <v xml:space="preserve"> </v>
      </c>
      <c r="P52" s="10" t="str">
        <f t="shared" si="59"/>
        <v xml:space="preserve"> </v>
      </c>
      <c r="Q52" s="10" t="str">
        <f t="shared" si="60"/>
        <v xml:space="preserve"> </v>
      </c>
      <c r="R52" s="9" t="e">
        <f t="shared" si="61"/>
        <v>#VALUE!</v>
      </c>
      <c r="X52" s="37"/>
      <c r="Y52" s="37"/>
      <c r="Z52" s="37"/>
      <c r="AA52" s="37"/>
      <c r="AB52" s="37"/>
      <c r="AC52" s="37"/>
      <c r="AD52" s="37"/>
      <c r="AE52" s="37"/>
      <c r="AH52" s="37"/>
      <c r="AI52" s="39" t="str">
        <f t="shared" si="62"/>
        <v xml:space="preserve"> </v>
      </c>
      <c r="AK52" s="9" t="str">
        <f t="shared" si="63"/>
        <v xml:space="preserve"> </v>
      </c>
      <c r="AL52" s="9" t="str">
        <f t="shared" si="64"/>
        <v xml:space="preserve"> </v>
      </c>
      <c r="AM52" s="6" t="str">
        <f t="shared" si="65"/>
        <v xml:space="preserve"> </v>
      </c>
      <c r="AN52" s="8" t="str">
        <f t="shared" si="66"/>
        <v xml:space="preserve"> </v>
      </c>
      <c r="AO52" s="8" t="str">
        <f t="shared" si="67"/>
        <v xml:space="preserve"> </v>
      </c>
      <c r="AP52" s="40" t="str">
        <f t="shared" si="68"/>
        <v xml:space="preserve"> </v>
      </c>
      <c r="AQ52" s="40" t="str">
        <f t="shared" si="69"/>
        <v xml:space="preserve"> </v>
      </c>
      <c r="AR52" s="40" t="str">
        <f t="shared" si="70"/>
        <v xml:space="preserve"> </v>
      </c>
      <c r="AS52" s="40"/>
      <c r="AT52" s="40" t="str">
        <f t="shared" si="71"/>
        <v xml:space="preserve"> </v>
      </c>
    </row>
    <row r="53" spans="1:46" ht="15" customHeight="1" x14ac:dyDescent="0.25">
      <c r="A53" s="6" t="str">
        <f t="shared" si="51"/>
        <v xml:space="preserve"> </v>
      </c>
      <c r="B53" s="7" t="s">
        <v>8</v>
      </c>
      <c r="C53" s="22" t="s">
        <v>37</v>
      </c>
      <c r="D53" s="13" t="str">
        <f t="shared" si="50"/>
        <v>Projectile Tracking</v>
      </c>
      <c r="E53" s="4" t="s">
        <v>65</v>
      </c>
      <c r="F53" s="4" t="s">
        <v>91</v>
      </c>
      <c r="H53" s="32" t="str">
        <f t="shared" si="52"/>
        <v xml:space="preserve"> </v>
      </c>
      <c r="I53" s="8" t="str">
        <f t="shared" si="53"/>
        <v/>
      </c>
      <c r="J53" s="9" t="str">
        <f t="shared" si="54"/>
        <v xml:space="preserve"> </v>
      </c>
      <c r="K53" s="40" t="str">
        <f t="shared" si="55"/>
        <v xml:space="preserve"> </v>
      </c>
      <c r="L53" s="40" t="str">
        <f t="shared" si="56"/>
        <v xml:space="preserve"> </v>
      </c>
      <c r="M53" s="40" t="str">
        <f t="shared" si="57"/>
        <v xml:space="preserve"> </v>
      </c>
      <c r="O53" s="10" t="str">
        <f t="shared" si="58"/>
        <v xml:space="preserve"> </v>
      </c>
      <c r="P53" s="10" t="str">
        <f t="shared" si="59"/>
        <v xml:space="preserve"> </v>
      </c>
      <c r="Q53" s="10" t="str">
        <f t="shared" si="60"/>
        <v xml:space="preserve"> </v>
      </c>
      <c r="R53" s="9" t="e">
        <f t="shared" si="61"/>
        <v>#VALUE!</v>
      </c>
      <c r="X53" s="37"/>
      <c r="Y53" s="37"/>
      <c r="Z53" s="37"/>
      <c r="AA53" s="37"/>
      <c r="AB53" s="37"/>
      <c r="AC53" s="37"/>
      <c r="AD53" s="37"/>
      <c r="AE53" s="37"/>
      <c r="AH53" s="37"/>
      <c r="AI53" s="39" t="str">
        <f t="shared" si="62"/>
        <v xml:space="preserve"> </v>
      </c>
      <c r="AK53" s="9" t="str">
        <f t="shared" si="63"/>
        <v xml:space="preserve"> </v>
      </c>
      <c r="AL53" s="9" t="str">
        <f t="shared" si="64"/>
        <v xml:space="preserve"> </v>
      </c>
      <c r="AM53" s="6" t="str">
        <f t="shared" si="65"/>
        <v xml:space="preserve"> </v>
      </c>
      <c r="AN53" s="8" t="str">
        <f t="shared" si="66"/>
        <v xml:space="preserve"> </v>
      </c>
      <c r="AO53" s="8" t="str">
        <f t="shared" si="67"/>
        <v xml:space="preserve"> </v>
      </c>
      <c r="AP53" s="40" t="str">
        <f t="shared" si="68"/>
        <v xml:space="preserve"> </v>
      </c>
      <c r="AQ53" s="40" t="str">
        <f t="shared" si="69"/>
        <v xml:space="preserve"> </v>
      </c>
      <c r="AR53" s="40" t="str">
        <f t="shared" si="70"/>
        <v xml:space="preserve"> </v>
      </c>
      <c r="AS53" s="40"/>
      <c r="AT53" s="40" t="str">
        <f t="shared" si="71"/>
        <v xml:space="preserve"> </v>
      </c>
    </row>
    <row r="54" spans="1:46" ht="15" customHeight="1" x14ac:dyDescent="0.25">
      <c r="A54" s="6" t="str">
        <f t="shared" si="51"/>
        <v xml:space="preserve"> </v>
      </c>
      <c r="B54" s="7" t="s">
        <v>110</v>
      </c>
      <c r="C54" s="22" t="s">
        <v>37</v>
      </c>
      <c r="D54" s="13" t="str">
        <f t="shared" si="50"/>
        <v>Projectile Tracking</v>
      </c>
      <c r="E54" s="4" t="s">
        <v>65</v>
      </c>
      <c r="F54" s="4" t="s">
        <v>91</v>
      </c>
      <c r="H54" s="32" t="str">
        <f t="shared" si="52"/>
        <v xml:space="preserve"> </v>
      </c>
      <c r="I54" s="8" t="str">
        <f t="shared" si="53"/>
        <v/>
      </c>
      <c r="J54" s="9" t="str">
        <f t="shared" si="54"/>
        <v xml:space="preserve"> </v>
      </c>
      <c r="K54" s="40" t="str">
        <f t="shared" si="55"/>
        <v xml:space="preserve"> </v>
      </c>
      <c r="L54" s="40" t="str">
        <f t="shared" si="56"/>
        <v xml:space="preserve"> </v>
      </c>
      <c r="M54" s="40" t="str">
        <f t="shared" si="57"/>
        <v xml:space="preserve"> </v>
      </c>
      <c r="O54" s="10" t="str">
        <f t="shared" si="58"/>
        <v xml:space="preserve"> </v>
      </c>
      <c r="P54" s="10" t="str">
        <f t="shared" si="59"/>
        <v xml:space="preserve"> </v>
      </c>
      <c r="Q54" s="10" t="str">
        <f t="shared" si="60"/>
        <v xml:space="preserve"> </v>
      </c>
      <c r="R54" s="9" t="e">
        <f t="shared" si="61"/>
        <v>#VALUE!</v>
      </c>
      <c r="X54" s="37"/>
      <c r="Y54" s="37"/>
      <c r="Z54" s="37"/>
      <c r="AA54" s="37"/>
      <c r="AB54" s="37"/>
      <c r="AC54" s="37"/>
      <c r="AD54" s="37"/>
      <c r="AE54" s="37"/>
      <c r="AH54" s="37"/>
      <c r="AI54" s="39" t="str">
        <f t="shared" si="62"/>
        <v xml:space="preserve"> </v>
      </c>
      <c r="AK54" s="9" t="str">
        <f t="shared" si="63"/>
        <v xml:space="preserve"> </v>
      </c>
      <c r="AL54" s="9" t="str">
        <f t="shared" si="64"/>
        <v xml:space="preserve"> </v>
      </c>
      <c r="AM54" s="6" t="str">
        <f t="shared" si="65"/>
        <v xml:space="preserve"> </v>
      </c>
      <c r="AN54" s="8" t="str">
        <f t="shared" si="66"/>
        <v xml:space="preserve"> </v>
      </c>
      <c r="AO54" s="8" t="str">
        <f t="shared" si="67"/>
        <v xml:space="preserve"> </v>
      </c>
      <c r="AP54" s="40" t="str">
        <f t="shared" si="68"/>
        <v xml:space="preserve"> </v>
      </c>
      <c r="AQ54" s="40" t="str">
        <f t="shared" si="69"/>
        <v xml:space="preserve"> </v>
      </c>
      <c r="AR54" s="40" t="str">
        <f t="shared" si="70"/>
        <v xml:space="preserve"> </v>
      </c>
      <c r="AS54" s="40"/>
      <c r="AT54" s="40" t="str">
        <f t="shared" si="71"/>
        <v xml:space="preserve"> </v>
      </c>
    </row>
    <row r="55" spans="1:46" ht="15" customHeight="1" x14ac:dyDescent="0.25">
      <c r="A55" s="6" t="str">
        <f t="shared" si="51"/>
        <v xml:space="preserve"> </v>
      </c>
      <c r="B55" s="7" t="s">
        <v>51</v>
      </c>
      <c r="C55" s="22" t="s">
        <v>40</v>
      </c>
      <c r="D55" s="13" t="str">
        <f t="shared" si="50"/>
        <v>Hitscan Tracking</v>
      </c>
      <c r="E55" s="4" t="s">
        <v>64</v>
      </c>
      <c r="F55" s="4" t="s">
        <v>91</v>
      </c>
      <c r="H55" s="32" t="str">
        <f t="shared" si="52"/>
        <v xml:space="preserve"> </v>
      </c>
      <c r="I55" s="8" t="str">
        <f t="shared" si="53"/>
        <v/>
      </c>
      <c r="J55" s="9" t="str">
        <f t="shared" si="54"/>
        <v xml:space="preserve"> </v>
      </c>
      <c r="K55" s="40" t="str">
        <f t="shared" si="55"/>
        <v xml:space="preserve"> </v>
      </c>
      <c r="L55" s="40" t="str">
        <f t="shared" si="56"/>
        <v xml:space="preserve"> </v>
      </c>
      <c r="M55" s="40" t="str">
        <f t="shared" si="57"/>
        <v xml:space="preserve"> </v>
      </c>
      <c r="O55" s="10" t="str">
        <f t="shared" si="58"/>
        <v xml:space="preserve"> </v>
      </c>
      <c r="P55" s="10" t="str">
        <f t="shared" si="59"/>
        <v xml:space="preserve"> </v>
      </c>
      <c r="Q55" s="10" t="str">
        <f t="shared" si="60"/>
        <v xml:space="preserve"> </v>
      </c>
      <c r="R55" s="9" t="e">
        <f t="shared" si="61"/>
        <v>#VALUE!</v>
      </c>
      <c r="X55" s="37"/>
      <c r="Y55" s="37"/>
      <c r="Z55" s="37"/>
      <c r="AA55" s="37"/>
      <c r="AB55" s="37"/>
      <c r="AC55" s="37"/>
      <c r="AD55" s="37"/>
      <c r="AE55" s="37"/>
      <c r="AH55" s="37"/>
      <c r="AI55" s="39" t="str">
        <f t="shared" si="62"/>
        <v xml:space="preserve"> </v>
      </c>
      <c r="AK55" s="9" t="str">
        <f t="shared" si="63"/>
        <v xml:space="preserve"> </v>
      </c>
      <c r="AL55" s="9" t="str">
        <f t="shared" si="64"/>
        <v xml:space="preserve"> </v>
      </c>
      <c r="AM55" s="6" t="str">
        <f t="shared" si="65"/>
        <v xml:space="preserve"> </v>
      </c>
      <c r="AN55" s="8" t="str">
        <f t="shared" si="66"/>
        <v xml:space="preserve"> </v>
      </c>
      <c r="AO55" s="8" t="str">
        <f t="shared" si="67"/>
        <v xml:space="preserve"> </v>
      </c>
      <c r="AP55" s="40" t="str">
        <f t="shared" si="68"/>
        <v xml:space="preserve"> </v>
      </c>
      <c r="AQ55" s="40" t="str">
        <f t="shared" si="69"/>
        <v xml:space="preserve"> </v>
      </c>
      <c r="AR55" s="40" t="str">
        <f t="shared" si="70"/>
        <v xml:space="preserve"> </v>
      </c>
      <c r="AS55" s="40"/>
      <c r="AT55" s="40" t="str">
        <f t="shared" si="71"/>
        <v xml:space="preserve"> </v>
      </c>
    </row>
    <row r="56" spans="1:46" ht="15" customHeight="1" x14ac:dyDescent="0.25">
      <c r="A56" s="6" t="str">
        <f t="shared" si="51"/>
        <v xml:space="preserve"> </v>
      </c>
      <c r="B56" s="7" t="s">
        <v>23</v>
      </c>
      <c r="C56" s="22" t="s">
        <v>40</v>
      </c>
      <c r="D56" s="13" t="str">
        <f t="shared" si="50"/>
        <v>Hitscan Repeater</v>
      </c>
      <c r="E56" s="4" t="s">
        <v>64</v>
      </c>
      <c r="F56" s="4" t="s">
        <v>63</v>
      </c>
      <c r="H56" s="32" t="str">
        <f t="shared" si="52"/>
        <v xml:space="preserve"> </v>
      </c>
      <c r="I56" s="8" t="str">
        <f t="shared" si="53"/>
        <v/>
      </c>
      <c r="J56" s="9" t="str">
        <f t="shared" si="54"/>
        <v xml:space="preserve"> </v>
      </c>
      <c r="K56" s="40" t="str">
        <f t="shared" si="55"/>
        <v xml:space="preserve"> </v>
      </c>
      <c r="L56" s="40" t="str">
        <f t="shared" si="56"/>
        <v xml:space="preserve"> </v>
      </c>
      <c r="M56" s="40" t="str">
        <f t="shared" si="57"/>
        <v xml:space="preserve"> </v>
      </c>
      <c r="O56" s="10" t="str">
        <f t="shared" si="58"/>
        <v xml:space="preserve"> </v>
      </c>
      <c r="P56" s="10" t="str">
        <f t="shared" si="59"/>
        <v xml:space="preserve"> </v>
      </c>
      <c r="Q56" s="10" t="str">
        <f t="shared" si="60"/>
        <v xml:space="preserve"> </v>
      </c>
      <c r="R56" s="9" t="e">
        <f t="shared" si="61"/>
        <v>#VALUE!</v>
      </c>
      <c r="X56" s="37"/>
      <c r="Y56" s="37"/>
      <c r="Z56" s="37"/>
      <c r="AA56" s="37"/>
      <c r="AB56" s="37"/>
      <c r="AC56" s="37"/>
      <c r="AD56" s="37"/>
      <c r="AE56" s="37"/>
      <c r="AH56" s="37"/>
      <c r="AI56" s="39" t="str">
        <f t="shared" si="62"/>
        <v xml:space="preserve"> </v>
      </c>
      <c r="AK56" s="9" t="str">
        <f t="shared" si="63"/>
        <v xml:space="preserve"> </v>
      </c>
      <c r="AL56" s="9" t="str">
        <f t="shared" si="64"/>
        <v xml:space="preserve"> </v>
      </c>
      <c r="AM56" s="6" t="str">
        <f t="shared" si="65"/>
        <v xml:space="preserve"> </v>
      </c>
      <c r="AN56" s="8" t="str">
        <f t="shared" si="66"/>
        <v xml:space="preserve"> </v>
      </c>
      <c r="AO56" s="8" t="str">
        <f t="shared" si="67"/>
        <v xml:space="preserve"> </v>
      </c>
      <c r="AP56" s="40" t="str">
        <f t="shared" si="68"/>
        <v xml:space="preserve"> </v>
      </c>
      <c r="AQ56" s="40" t="str">
        <f t="shared" si="69"/>
        <v xml:space="preserve"> </v>
      </c>
      <c r="AR56" s="40" t="str">
        <f t="shared" si="70"/>
        <v xml:space="preserve"> </v>
      </c>
      <c r="AS56" s="40"/>
      <c r="AT56" s="40" t="str">
        <f t="shared" si="71"/>
        <v xml:space="preserve"> </v>
      </c>
    </row>
    <row r="57" spans="1:46" ht="15" customHeight="1" x14ac:dyDescent="0.25">
      <c r="A57" s="6" t="str">
        <f t="shared" si="51"/>
        <v xml:space="preserve"> </v>
      </c>
      <c r="B57" s="7" t="s">
        <v>17</v>
      </c>
      <c r="C57" s="22" t="s">
        <v>40</v>
      </c>
      <c r="D57" s="13" t="str">
        <f t="shared" si="50"/>
        <v>Hitscan Tracking</v>
      </c>
      <c r="E57" s="4" t="s">
        <v>64</v>
      </c>
      <c r="F57" s="4" t="s">
        <v>91</v>
      </c>
      <c r="H57" s="32" t="str">
        <f t="shared" si="52"/>
        <v xml:space="preserve"> </v>
      </c>
      <c r="I57" s="8" t="str">
        <f t="shared" si="53"/>
        <v/>
      </c>
      <c r="J57" s="9" t="str">
        <f t="shared" si="54"/>
        <v xml:space="preserve"> </v>
      </c>
      <c r="K57" s="40" t="str">
        <f t="shared" si="55"/>
        <v xml:space="preserve"> </v>
      </c>
      <c r="L57" s="40" t="str">
        <f t="shared" si="56"/>
        <v xml:space="preserve"> </v>
      </c>
      <c r="M57" s="40" t="str">
        <f t="shared" si="57"/>
        <v xml:space="preserve"> </v>
      </c>
      <c r="O57" s="10" t="str">
        <f t="shared" si="58"/>
        <v xml:space="preserve"> </v>
      </c>
      <c r="P57" s="10" t="str">
        <f t="shared" si="59"/>
        <v xml:space="preserve"> </v>
      </c>
      <c r="Q57" s="10" t="str">
        <f t="shared" si="60"/>
        <v xml:space="preserve"> </v>
      </c>
      <c r="R57" s="9" t="e">
        <f t="shared" si="61"/>
        <v>#VALUE!</v>
      </c>
      <c r="X57" s="37"/>
      <c r="Y57" s="37"/>
      <c r="Z57" s="37"/>
      <c r="AA57" s="37"/>
      <c r="AB57" s="37"/>
      <c r="AC57" s="37"/>
      <c r="AD57" s="37"/>
      <c r="AE57" s="37"/>
      <c r="AH57" s="37"/>
      <c r="AI57" s="39" t="str">
        <f t="shared" si="62"/>
        <v xml:space="preserve"> </v>
      </c>
      <c r="AK57" s="9" t="str">
        <f t="shared" si="63"/>
        <v xml:space="preserve"> </v>
      </c>
      <c r="AL57" s="9" t="str">
        <f t="shared" si="64"/>
        <v xml:space="preserve"> </v>
      </c>
      <c r="AM57" s="6" t="str">
        <f t="shared" si="65"/>
        <v xml:space="preserve"> </v>
      </c>
      <c r="AN57" s="8" t="str">
        <f t="shared" si="66"/>
        <v xml:space="preserve"> </v>
      </c>
      <c r="AO57" s="8" t="str">
        <f t="shared" si="67"/>
        <v xml:space="preserve"> </v>
      </c>
      <c r="AP57" s="40" t="str">
        <f t="shared" si="68"/>
        <v xml:space="preserve"> </v>
      </c>
      <c r="AQ57" s="40" t="str">
        <f t="shared" si="69"/>
        <v xml:space="preserve"> </v>
      </c>
      <c r="AR57" s="40" t="str">
        <f t="shared" si="70"/>
        <v xml:space="preserve"> </v>
      </c>
      <c r="AS57" s="40"/>
      <c r="AT57" s="40" t="str">
        <f t="shared" si="71"/>
        <v xml:space="preserve"> </v>
      </c>
    </row>
    <row r="58" spans="1:46" ht="15" customHeight="1" x14ac:dyDescent="0.25">
      <c r="A58" s="6" t="str">
        <f t="shared" si="51"/>
        <v xml:space="preserve"> </v>
      </c>
      <c r="B58" s="7" t="s">
        <v>14</v>
      </c>
      <c r="C58" s="22" t="s">
        <v>40</v>
      </c>
      <c r="D58" s="13" t="str">
        <f t="shared" si="50"/>
        <v>Projectile Repeater</v>
      </c>
      <c r="E58" s="4" t="s">
        <v>65</v>
      </c>
      <c r="F58" s="4" t="s">
        <v>63</v>
      </c>
      <c r="H58" s="32" t="str">
        <f t="shared" si="52"/>
        <v xml:space="preserve"> </v>
      </c>
      <c r="I58" s="8" t="str">
        <f t="shared" si="53"/>
        <v/>
      </c>
      <c r="J58" s="9" t="str">
        <f t="shared" si="54"/>
        <v xml:space="preserve"> </v>
      </c>
      <c r="K58" s="40" t="str">
        <f t="shared" si="55"/>
        <v xml:space="preserve"> </v>
      </c>
      <c r="L58" s="40" t="str">
        <f t="shared" si="56"/>
        <v xml:space="preserve"> </v>
      </c>
      <c r="M58" s="40" t="str">
        <f t="shared" si="57"/>
        <v xml:space="preserve"> </v>
      </c>
      <c r="O58" s="10" t="str">
        <f t="shared" si="58"/>
        <v xml:space="preserve"> </v>
      </c>
      <c r="P58" s="10" t="str">
        <f t="shared" si="59"/>
        <v xml:space="preserve"> </v>
      </c>
      <c r="Q58" s="10" t="str">
        <f t="shared" si="60"/>
        <v xml:space="preserve"> </v>
      </c>
      <c r="R58" s="9" t="e">
        <f t="shared" si="61"/>
        <v>#VALUE!</v>
      </c>
      <c r="X58" s="37"/>
      <c r="Y58" s="37"/>
      <c r="Z58" s="37"/>
      <c r="AA58" s="37"/>
      <c r="AB58" s="37"/>
      <c r="AC58" s="37"/>
      <c r="AD58" s="37"/>
      <c r="AE58" s="37"/>
      <c r="AH58" s="37"/>
      <c r="AI58" s="39" t="str">
        <f t="shared" si="62"/>
        <v xml:space="preserve"> </v>
      </c>
      <c r="AK58" s="9" t="str">
        <f t="shared" si="63"/>
        <v xml:space="preserve"> </v>
      </c>
      <c r="AL58" s="9" t="str">
        <f t="shared" si="64"/>
        <v xml:space="preserve"> </v>
      </c>
      <c r="AM58" s="6" t="str">
        <f t="shared" si="65"/>
        <v xml:space="preserve"> </v>
      </c>
      <c r="AN58" s="8" t="str">
        <f t="shared" si="66"/>
        <v xml:space="preserve"> </v>
      </c>
      <c r="AO58" s="8" t="str">
        <f t="shared" si="67"/>
        <v xml:space="preserve"> </v>
      </c>
      <c r="AP58" s="40" t="str">
        <f t="shared" si="68"/>
        <v xml:space="preserve"> </v>
      </c>
      <c r="AQ58" s="40" t="str">
        <f t="shared" si="69"/>
        <v xml:space="preserve"> </v>
      </c>
      <c r="AR58" s="40" t="str">
        <f t="shared" si="70"/>
        <v xml:space="preserve"> </v>
      </c>
      <c r="AS58" s="40"/>
      <c r="AT58" s="40" t="str">
        <f t="shared" si="71"/>
        <v xml:space="preserve"> </v>
      </c>
    </row>
    <row r="59" spans="1:46" ht="15" customHeight="1" x14ac:dyDescent="0.25">
      <c r="A59" s="6" t="str">
        <f t="shared" si="51"/>
        <v xml:space="preserve"> </v>
      </c>
      <c r="B59" s="7" t="s">
        <v>49</v>
      </c>
      <c r="C59" s="22" t="s">
        <v>40</v>
      </c>
      <c r="D59" s="13" t="str">
        <f t="shared" si="50"/>
        <v>Projectile Repeater</v>
      </c>
      <c r="E59" s="4" t="s">
        <v>65</v>
      </c>
      <c r="F59" s="4" t="s">
        <v>63</v>
      </c>
      <c r="H59" s="32" t="str">
        <f t="shared" si="52"/>
        <v xml:space="preserve"> </v>
      </c>
      <c r="I59" s="8" t="str">
        <f t="shared" si="53"/>
        <v/>
      </c>
      <c r="J59" s="9" t="str">
        <f t="shared" si="54"/>
        <v xml:space="preserve"> </v>
      </c>
      <c r="K59" s="40" t="str">
        <f t="shared" si="55"/>
        <v xml:space="preserve"> </v>
      </c>
      <c r="L59" s="40" t="str">
        <f t="shared" si="56"/>
        <v xml:space="preserve"> </v>
      </c>
      <c r="M59" s="40" t="str">
        <f t="shared" si="57"/>
        <v xml:space="preserve"> </v>
      </c>
      <c r="O59" s="10" t="str">
        <f t="shared" si="58"/>
        <v xml:space="preserve"> </v>
      </c>
      <c r="P59" s="10" t="str">
        <f t="shared" si="59"/>
        <v xml:space="preserve"> </v>
      </c>
      <c r="Q59" s="10" t="str">
        <f t="shared" si="60"/>
        <v xml:space="preserve"> </v>
      </c>
      <c r="R59" s="9" t="e">
        <f t="shared" si="61"/>
        <v>#VALUE!</v>
      </c>
      <c r="X59" s="37"/>
      <c r="Y59" s="37"/>
      <c r="Z59" s="37"/>
      <c r="AA59" s="37"/>
      <c r="AB59" s="37"/>
      <c r="AC59" s="37"/>
      <c r="AD59" s="37"/>
      <c r="AE59" s="37"/>
      <c r="AH59" s="37"/>
      <c r="AI59" s="39" t="str">
        <f t="shared" si="62"/>
        <v xml:space="preserve"> </v>
      </c>
      <c r="AK59" s="9" t="str">
        <f t="shared" si="63"/>
        <v xml:space="preserve"> </v>
      </c>
      <c r="AL59" s="9" t="str">
        <f t="shared" si="64"/>
        <v xml:space="preserve"> </v>
      </c>
      <c r="AM59" s="6" t="str">
        <f t="shared" si="65"/>
        <v xml:space="preserve"> </v>
      </c>
      <c r="AN59" s="8" t="str">
        <f t="shared" si="66"/>
        <v xml:space="preserve"> </v>
      </c>
      <c r="AO59" s="8" t="str">
        <f t="shared" si="67"/>
        <v xml:space="preserve"> </v>
      </c>
      <c r="AP59" s="40" t="str">
        <f t="shared" si="68"/>
        <v xml:space="preserve"> </v>
      </c>
      <c r="AQ59" s="40" t="str">
        <f t="shared" si="69"/>
        <v xml:space="preserve"> </v>
      </c>
      <c r="AR59" s="40" t="str">
        <f t="shared" si="70"/>
        <v xml:space="preserve"> </v>
      </c>
      <c r="AS59" s="40"/>
      <c r="AT59" s="40" t="str">
        <f t="shared" si="71"/>
        <v xml:space="preserve"> </v>
      </c>
    </row>
    <row r="60" spans="1:46" ht="15" customHeight="1" x14ac:dyDescent="0.25">
      <c r="A60" s="6" t="str">
        <f t="shared" si="51"/>
        <v xml:space="preserve"> </v>
      </c>
      <c r="B60" s="7" t="s">
        <v>12</v>
      </c>
      <c r="C60" s="22" t="s">
        <v>40</v>
      </c>
      <c r="D60" s="13" t="str">
        <f t="shared" si="50"/>
        <v>Hitscan Tracking Repeater</v>
      </c>
      <c r="E60" s="12" t="s">
        <v>64</v>
      </c>
      <c r="F60" s="12" t="s">
        <v>92</v>
      </c>
      <c r="H60" s="32" t="str">
        <f t="shared" si="52"/>
        <v xml:space="preserve"> </v>
      </c>
      <c r="I60" s="8" t="str">
        <f t="shared" si="53"/>
        <v/>
      </c>
      <c r="J60" s="9" t="str">
        <f t="shared" si="54"/>
        <v xml:space="preserve"> </v>
      </c>
      <c r="K60" s="40" t="str">
        <f t="shared" si="55"/>
        <v xml:space="preserve"> </v>
      </c>
      <c r="L60" s="40" t="str">
        <f t="shared" si="56"/>
        <v xml:space="preserve"> </v>
      </c>
      <c r="M60" s="40" t="str">
        <f t="shared" si="57"/>
        <v xml:space="preserve"> </v>
      </c>
      <c r="O60" s="10" t="str">
        <f t="shared" si="58"/>
        <v xml:space="preserve"> </v>
      </c>
      <c r="P60" s="10" t="str">
        <f t="shared" si="59"/>
        <v xml:space="preserve"> </v>
      </c>
      <c r="Q60" s="10" t="str">
        <f t="shared" si="60"/>
        <v xml:space="preserve"> </v>
      </c>
      <c r="R60" s="9" t="e">
        <f t="shared" si="61"/>
        <v>#VALUE!</v>
      </c>
      <c r="X60" s="37"/>
      <c r="Y60" s="37"/>
      <c r="Z60" s="37"/>
      <c r="AA60" s="37"/>
      <c r="AB60" s="37"/>
      <c r="AC60" s="37"/>
      <c r="AD60" s="37"/>
      <c r="AE60" s="37"/>
      <c r="AH60" s="37"/>
      <c r="AI60" s="39" t="str">
        <f t="shared" si="62"/>
        <v xml:space="preserve"> </v>
      </c>
      <c r="AK60" s="9" t="str">
        <f t="shared" si="63"/>
        <v xml:space="preserve"> </v>
      </c>
      <c r="AL60" s="9" t="str">
        <f t="shared" si="64"/>
        <v xml:space="preserve"> </v>
      </c>
      <c r="AM60" s="6" t="str">
        <f t="shared" si="65"/>
        <v xml:space="preserve"> </v>
      </c>
      <c r="AN60" s="8" t="str">
        <f t="shared" si="66"/>
        <v xml:space="preserve"> </v>
      </c>
      <c r="AO60" s="8" t="str">
        <f t="shared" si="67"/>
        <v xml:space="preserve"> </v>
      </c>
      <c r="AP60" s="40" t="str">
        <f t="shared" si="68"/>
        <v xml:space="preserve"> </v>
      </c>
      <c r="AQ60" s="40" t="str">
        <f t="shared" si="69"/>
        <v xml:space="preserve"> </v>
      </c>
      <c r="AR60" s="40" t="str">
        <f t="shared" si="70"/>
        <v xml:space="preserve"> </v>
      </c>
      <c r="AS60" s="40"/>
      <c r="AT60" s="40" t="str">
        <f t="shared" si="71"/>
        <v xml:space="preserve"> </v>
      </c>
    </row>
    <row r="61" spans="1:46" ht="15" customHeight="1" x14ac:dyDescent="0.25">
      <c r="A61" s="6" t="str">
        <f t="shared" si="51"/>
        <v xml:space="preserve"> </v>
      </c>
      <c r="B61" s="7" t="s">
        <v>52</v>
      </c>
      <c r="C61" s="22" t="s">
        <v>40</v>
      </c>
      <c r="D61" s="13" t="str">
        <f t="shared" si="50"/>
        <v>Projectile Arc</v>
      </c>
      <c r="E61" s="4" t="s">
        <v>65</v>
      </c>
      <c r="F61" s="4" t="s">
        <v>66</v>
      </c>
      <c r="H61" s="32" t="str">
        <f t="shared" si="52"/>
        <v xml:space="preserve"> </v>
      </c>
      <c r="I61" s="8" t="str">
        <f t="shared" si="53"/>
        <v/>
      </c>
      <c r="J61" s="9" t="str">
        <f t="shared" si="54"/>
        <v xml:space="preserve"> </v>
      </c>
      <c r="K61" s="40" t="str">
        <f t="shared" si="55"/>
        <v xml:space="preserve"> </v>
      </c>
      <c r="L61" s="40" t="str">
        <f t="shared" si="56"/>
        <v xml:space="preserve"> </v>
      </c>
      <c r="M61" s="40" t="str">
        <f t="shared" si="57"/>
        <v xml:space="preserve"> </v>
      </c>
      <c r="O61" s="10" t="str">
        <f t="shared" si="58"/>
        <v xml:space="preserve"> </v>
      </c>
      <c r="P61" s="10" t="str">
        <f t="shared" si="59"/>
        <v xml:space="preserve"> </v>
      </c>
      <c r="Q61" s="10" t="str">
        <f t="shared" si="60"/>
        <v xml:space="preserve"> </v>
      </c>
      <c r="R61" s="9" t="e">
        <f t="shared" si="61"/>
        <v>#VALUE!</v>
      </c>
      <c r="X61" s="37"/>
      <c r="Y61" s="37"/>
      <c r="Z61" s="37"/>
      <c r="AA61" s="37"/>
      <c r="AB61" s="37"/>
      <c r="AC61" s="37"/>
      <c r="AD61" s="37"/>
      <c r="AE61" s="37"/>
      <c r="AH61" s="37"/>
      <c r="AI61" s="39" t="str">
        <f t="shared" si="62"/>
        <v xml:space="preserve"> </v>
      </c>
      <c r="AK61" s="9" t="str">
        <f t="shared" si="63"/>
        <v xml:space="preserve"> </v>
      </c>
      <c r="AL61" s="9" t="str">
        <f t="shared" si="64"/>
        <v xml:space="preserve"> </v>
      </c>
      <c r="AM61" s="6" t="str">
        <f t="shared" si="65"/>
        <v xml:space="preserve"> </v>
      </c>
      <c r="AN61" s="8" t="str">
        <f t="shared" si="66"/>
        <v xml:space="preserve"> </v>
      </c>
      <c r="AO61" s="8" t="str">
        <f t="shared" si="67"/>
        <v xml:space="preserve"> </v>
      </c>
      <c r="AP61" s="40" t="str">
        <f t="shared" si="68"/>
        <v xml:space="preserve"> </v>
      </c>
      <c r="AQ61" s="40" t="str">
        <f t="shared" si="69"/>
        <v xml:space="preserve"> </v>
      </c>
      <c r="AR61" s="40" t="str">
        <f t="shared" si="70"/>
        <v xml:space="preserve"> </v>
      </c>
      <c r="AS61" s="40"/>
      <c r="AT61" s="40" t="str">
        <f t="shared" si="71"/>
        <v xml:space="preserve"> </v>
      </c>
    </row>
    <row r="62" spans="1:46" ht="15" customHeight="1" x14ac:dyDescent="0.25">
      <c r="A62" s="6" t="str">
        <f t="shared" si="51"/>
        <v xml:space="preserve"> </v>
      </c>
      <c r="B62" s="7" t="s">
        <v>21</v>
      </c>
      <c r="C62" s="22" t="s">
        <v>40</v>
      </c>
      <c r="D62" s="13" t="str">
        <f t="shared" si="50"/>
        <v>Projectile Arc</v>
      </c>
      <c r="E62" s="4" t="s">
        <v>65</v>
      </c>
      <c r="F62" s="4" t="s">
        <v>66</v>
      </c>
      <c r="H62" s="32" t="str">
        <f t="shared" si="52"/>
        <v xml:space="preserve"> </v>
      </c>
      <c r="I62" s="8" t="str">
        <f t="shared" si="53"/>
        <v/>
      </c>
      <c r="J62" s="9" t="str">
        <f t="shared" si="54"/>
        <v xml:space="preserve"> </v>
      </c>
      <c r="K62" s="40" t="str">
        <f t="shared" si="55"/>
        <v xml:space="preserve"> </v>
      </c>
      <c r="L62" s="40" t="str">
        <f t="shared" si="56"/>
        <v xml:space="preserve"> </v>
      </c>
      <c r="M62" s="40" t="str">
        <f t="shared" si="57"/>
        <v xml:space="preserve"> </v>
      </c>
      <c r="O62" s="10" t="str">
        <f t="shared" si="58"/>
        <v xml:space="preserve"> </v>
      </c>
      <c r="P62" s="10" t="str">
        <f t="shared" si="59"/>
        <v xml:space="preserve"> </v>
      </c>
      <c r="Q62" s="10" t="str">
        <f t="shared" si="60"/>
        <v xml:space="preserve"> </v>
      </c>
      <c r="R62" s="9" t="e">
        <f t="shared" si="61"/>
        <v>#VALUE!</v>
      </c>
      <c r="X62" s="37"/>
      <c r="Y62" s="37"/>
      <c r="Z62" s="37"/>
      <c r="AA62" s="37"/>
      <c r="AB62" s="37"/>
      <c r="AC62" s="37"/>
      <c r="AD62" s="37"/>
      <c r="AE62" s="37"/>
      <c r="AH62" s="37"/>
      <c r="AI62" s="39" t="str">
        <f t="shared" si="62"/>
        <v xml:space="preserve"> </v>
      </c>
      <c r="AK62" s="9" t="str">
        <f t="shared" si="63"/>
        <v xml:space="preserve"> </v>
      </c>
      <c r="AL62" s="9" t="str">
        <f t="shared" si="64"/>
        <v xml:space="preserve"> </v>
      </c>
      <c r="AM62" s="6" t="str">
        <f t="shared" si="65"/>
        <v xml:space="preserve"> </v>
      </c>
      <c r="AN62" s="8" t="str">
        <f t="shared" si="66"/>
        <v xml:space="preserve"> </v>
      </c>
      <c r="AO62" s="8" t="str">
        <f t="shared" si="67"/>
        <v xml:space="preserve"> </v>
      </c>
      <c r="AP62" s="40" t="str">
        <f t="shared" si="68"/>
        <v xml:space="preserve"> </v>
      </c>
      <c r="AQ62" s="40" t="str">
        <f t="shared" si="69"/>
        <v xml:space="preserve"> </v>
      </c>
      <c r="AR62" s="40" t="str">
        <f t="shared" si="70"/>
        <v xml:space="preserve"> </v>
      </c>
      <c r="AS62" s="40"/>
      <c r="AT62" s="40" t="str">
        <f t="shared" si="71"/>
        <v xml:space="preserve"> </v>
      </c>
    </row>
    <row r="63" spans="1:46" ht="15" customHeight="1" x14ac:dyDescent="0.25">
      <c r="A63" s="6" t="str">
        <f t="shared" si="51"/>
        <v xml:space="preserve"> </v>
      </c>
      <c r="B63" s="7" t="s">
        <v>7</v>
      </c>
      <c r="C63" s="22" t="s">
        <v>40</v>
      </c>
      <c r="D63" s="13" t="str">
        <f t="shared" si="50"/>
        <v>Projectile Tracking</v>
      </c>
      <c r="E63" s="4" t="s">
        <v>65</v>
      </c>
      <c r="F63" s="4" t="s">
        <v>91</v>
      </c>
      <c r="H63" s="32" t="str">
        <f t="shared" si="52"/>
        <v xml:space="preserve"> </v>
      </c>
      <c r="I63" s="8" t="str">
        <f t="shared" si="53"/>
        <v/>
      </c>
      <c r="J63" s="9" t="str">
        <f t="shared" si="54"/>
        <v xml:space="preserve"> </v>
      </c>
      <c r="K63" s="40" t="str">
        <f t="shared" si="55"/>
        <v xml:space="preserve"> </v>
      </c>
      <c r="L63" s="40" t="str">
        <f t="shared" si="56"/>
        <v xml:space="preserve"> </v>
      </c>
      <c r="M63" s="40" t="str">
        <f t="shared" si="57"/>
        <v xml:space="preserve"> </v>
      </c>
      <c r="O63" s="10" t="str">
        <f t="shared" si="58"/>
        <v xml:space="preserve"> </v>
      </c>
      <c r="P63" s="10" t="str">
        <f t="shared" si="59"/>
        <v xml:space="preserve"> </v>
      </c>
      <c r="Q63" s="10" t="str">
        <f t="shared" si="60"/>
        <v xml:space="preserve"> </v>
      </c>
      <c r="R63" s="9" t="e">
        <f t="shared" si="61"/>
        <v>#VALUE!</v>
      </c>
      <c r="X63" s="37"/>
      <c r="Y63" s="37"/>
      <c r="Z63" s="37"/>
      <c r="AA63" s="37"/>
      <c r="AB63" s="37"/>
      <c r="AC63" s="37"/>
      <c r="AD63" s="37"/>
      <c r="AE63" s="37"/>
      <c r="AH63" s="37"/>
      <c r="AI63" s="39" t="str">
        <f t="shared" si="62"/>
        <v xml:space="preserve"> </v>
      </c>
      <c r="AK63" s="9" t="str">
        <f t="shared" si="63"/>
        <v xml:space="preserve"> </v>
      </c>
      <c r="AL63" s="9" t="str">
        <f t="shared" si="64"/>
        <v xml:space="preserve"> </v>
      </c>
      <c r="AM63" s="6" t="str">
        <f t="shared" si="65"/>
        <v xml:space="preserve"> </v>
      </c>
      <c r="AN63" s="8" t="str">
        <f t="shared" si="66"/>
        <v xml:space="preserve"> </v>
      </c>
      <c r="AO63" s="8" t="str">
        <f t="shared" si="67"/>
        <v xml:space="preserve"> </v>
      </c>
      <c r="AP63" s="40" t="str">
        <f t="shared" si="68"/>
        <v xml:space="preserve"> </v>
      </c>
      <c r="AQ63" s="40" t="str">
        <f t="shared" si="69"/>
        <v xml:space="preserve"> </v>
      </c>
      <c r="AR63" s="40" t="str">
        <f t="shared" si="70"/>
        <v xml:space="preserve"> </v>
      </c>
      <c r="AS63" s="40"/>
      <c r="AT63" s="40" t="str">
        <f t="shared" si="71"/>
        <v xml:space="preserve"> </v>
      </c>
    </row>
    <row r="64" spans="1:46" ht="15" customHeight="1" x14ac:dyDescent="0.25">
      <c r="A64" s="6" t="str">
        <f t="shared" si="51"/>
        <v xml:space="preserve"> </v>
      </c>
      <c r="B64" s="7" t="s">
        <v>11</v>
      </c>
      <c r="C64" s="22" t="s">
        <v>40</v>
      </c>
      <c r="D64" s="13" t="str">
        <f t="shared" si="50"/>
        <v>Hitscan Tracking</v>
      </c>
      <c r="E64" s="4" t="s">
        <v>64</v>
      </c>
      <c r="F64" s="4" t="s">
        <v>91</v>
      </c>
      <c r="H64" s="32" t="str">
        <f t="shared" si="52"/>
        <v xml:space="preserve"> </v>
      </c>
      <c r="I64" s="8" t="str">
        <f t="shared" si="53"/>
        <v/>
      </c>
      <c r="J64" s="9" t="str">
        <f t="shared" si="54"/>
        <v xml:space="preserve"> </v>
      </c>
      <c r="K64" s="40" t="str">
        <f t="shared" si="55"/>
        <v xml:space="preserve"> </v>
      </c>
      <c r="L64" s="40" t="str">
        <f t="shared" si="56"/>
        <v xml:space="preserve"> </v>
      </c>
      <c r="M64" s="40" t="str">
        <f t="shared" si="57"/>
        <v xml:space="preserve"> </v>
      </c>
      <c r="O64" s="10" t="str">
        <f t="shared" si="58"/>
        <v xml:space="preserve"> </v>
      </c>
      <c r="P64" s="10" t="str">
        <f t="shared" si="59"/>
        <v xml:space="preserve"> </v>
      </c>
      <c r="Q64" s="10" t="str">
        <f t="shared" si="60"/>
        <v xml:space="preserve"> </v>
      </c>
      <c r="R64" s="9" t="e">
        <f t="shared" si="61"/>
        <v>#VALUE!</v>
      </c>
      <c r="AH64" s="37"/>
      <c r="AI64" s="39" t="str">
        <f t="shared" si="62"/>
        <v xml:space="preserve"> </v>
      </c>
      <c r="AK64" s="9" t="str">
        <f t="shared" si="63"/>
        <v xml:space="preserve"> </v>
      </c>
      <c r="AL64" s="9" t="str">
        <f t="shared" si="64"/>
        <v xml:space="preserve"> </v>
      </c>
      <c r="AM64" s="6" t="str">
        <f t="shared" si="65"/>
        <v xml:space="preserve"> </v>
      </c>
      <c r="AN64" s="8" t="str">
        <f t="shared" si="66"/>
        <v xml:space="preserve"> </v>
      </c>
      <c r="AO64" s="8" t="str">
        <f t="shared" si="67"/>
        <v xml:space="preserve"> </v>
      </c>
      <c r="AP64" s="40" t="str">
        <f t="shared" si="68"/>
        <v xml:space="preserve"> </v>
      </c>
      <c r="AQ64" s="40" t="str">
        <f t="shared" si="69"/>
        <v xml:space="preserve"> </v>
      </c>
      <c r="AR64" s="40" t="str">
        <f t="shared" si="70"/>
        <v xml:space="preserve"> </v>
      </c>
      <c r="AS64" s="40"/>
      <c r="AT64" s="40" t="str">
        <f t="shared" si="71"/>
        <v xml:space="preserve"> </v>
      </c>
    </row>
  </sheetData>
  <autoFilter ref="A15:AT15" xr:uid="{6BD8CC1A-3F48-4301-B6E5-53F6158EDE9E}">
    <sortState xmlns:xlrd2="http://schemas.microsoft.com/office/spreadsheetml/2017/richdata2" ref="A16:AT64">
      <sortCondition ref="C15"/>
    </sortState>
  </autoFilter>
  <mergeCells count="2">
    <mergeCell ref="A1:A6"/>
    <mergeCell ref="A8:A14"/>
  </mergeCells>
  <conditionalFormatting sqref="A16:A64">
    <cfRule type="colorScale" priority="54">
      <colorScale>
        <cfvo type="min"/>
        <cfvo type="max"/>
        <color rgb="FFFFEF9C"/>
        <color rgb="FF63BE7B"/>
      </colorScale>
    </cfRule>
  </conditionalFormatting>
  <conditionalFormatting sqref="H16:H64">
    <cfRule type="colorScale" priority="53">
      <colorScale>
        <cfvo type="min"/>
        <cfvo type="formula" val="$F$2"/>
        <color rgb="FFFFEF9C"/>
        <color rgb="FF63BE7B"/>
      </colorScale>
    </cfRule>
  </conditionalFormatting>
  <conditionalFormatting sqref="I16:I64">
    <cfRule type="colorScale" priority="52">
      <colorScale>
        <cfvo type="min"/>
        <cfvo type="formula" val="$D$2"/>
        <color rgb="FFFFEF9C"/>
        <color rgb="FF63BE7B"/>
      </colorScale>
    </cfRule>
  </conditionalFormatting>
  <conditionalFormatting sqref="J16:J64">
    <cfRule type="colorScale" priority="51">
      <colorScale>
        <cfvo type="min"/>
        <cfvo type="formula" val="$E$2"/>
        <color rgb="FFFFEF9C"/>
        <color rgb="FF63BE7B"/>
      </colorScale>
    </cfRule>
  </conditionalFormatting>
  <conditionalFormatting sqref="O16:O64">
    <cfRule type="colorScale" priority="50">
      <colorScale>
        <cfvo type="min"/>
        <cfvo type="max"/>
        <color rgb="FF63BE7B"/>
        <color rgb="FFFFEF9C"/>
      </colorScale>
    </cfRule>
  </conditionalFormatting>
  <conditionalFormatting sqref="Q16:Q64">
    <cfRule type="colorScale" priority="49">
      <colorScale>
        <cfvo type="min"/>
        <cfvo type="max"/>
        <color rgb="FF63BE7B"/>
        <color rgb="FFFFEF9C"/>
      </colorScale>
    </cfRule>
  </conditionalFormatting>
  <conditionalFormatting sqref="R16:R64">
    <cfRule type="colorScale" priority="48">
      <colorScale>
        <cfvo type="min"/>
        <cfvo type="max"/>
        <color rgb="FF63BE7B"/>
        <color rgb="FFFFEF9C"/>
      </colorScale>
    </cfRule>
  </conditionalFormatting>
  <conditionalFormatting sqref="B3:B7">
    <cfRule type="colorScale" priority="47">
      <colorScale>
        <cfvo type="min"/>
        <cfvo type="max"/>
        <color rgb="FFFFEF9C"/>
        <color rgb="FF63BE7B"/>
      </colorScale>
    </cfRule>
  </conditionalFormatting>
  <conditionalFormatting sqref="B8:B14">
    <cfRule type="colorScale" priority="40">
      <colorScale>
        <cfvo type="min"/>
        <cfvo type="max"/>
        <color rgb="FFFFEF9C"/>
        <color rgb="FF63BE7B"/>
      </colorScale>
    </cfRule>
  </conditionalFormatting>
  <conditionalFormatting sqref="H3:H7">
    <cfRule type="colorScale" priority="46">
      <colorScale>
        <cfvo type="min"/>
        <cfvo type="max"/>
        <color rgb="FFFFEF9C"/>
        <color rgb="FF63BE7B"/>
      </colorScale>
    </cfRule>
  </conditionalFormatting>
  <conditionalFormatting sqref="I3:I7">
    <cfRule type="colorScale" priority="45">
      <colorScale>
        <cfvo type="min"/>
        <cfvo type="max"/>
        <color rgb="FFFFEF9C"/>
        <color rgb="FF63BE7B"/>
      </colorScale>
    </cfRule>
  </conditionalFormatting>
  <conditionalFormatting sqref="J3:J7">
    <cfRule type="colorScale" priority="44">
      <colorScale>
        <cfvo type="min"/>
        <cfvo type="max"/>
        <color rgb="FFFFEF9C"/>
        <color rgb="FF63BE7B"/>
      </colorScale>
    </cfRule>
  </conditionalFormatting>
  <conditionalFormatting sqref="B3:B6">
    <cfRule type="colorScale" priority="39">
      <colorScale>
        <cfvo type="min"/>
        <cfvo type="max"/>
        <color rgb="FFFFEF9C"/>
        <color rgb="FF63BE7B"/>
      </colorScale>
    </cfRule>
  </conditionalFormatting>
  <conditionalFormatting sqref="B16:B64">
    <cfRule type="expression" dxfId="4" priority="38">
      <formula>IF(H16=" "," ",AND(I16&gt;=SUMIF($C$3:$C$6,$C16,$D$3:$D$6),J16&gt;=SUMIF($C$3:$C$6,$C16,$E$3:$E$6),H16&gt;=SUMIF($C$3:$C$6,$C16,$F$3:$F$6)))</formula>
    </cfRule>
  </conditionalFormatting>
  <conditionalFormatting sqref="AI16:AI64">
    <cfRule type="colorScale" priority="37">
      <colorScale>
        <cfvo type="min"/>
        <cfvo type="max"/>
        <color rgb="FFFFEF9C"/>
        <color rgb="FF63BE7B"/>
      </colorScale>
    </cfRule>
  </conditionalFormatting>
  <conditionalFormatting sqref="K16:K31">
    <cfRule type="colorScale" priority="36">
      <colorScale>
        <cfvo type="min"/>
        <cfvo type="max"/>
        <color rgb="FFFFEF9C"/>
        <color rgb="FF63BE7B"/>
      </colorScale>
    </cfRule>
  </conditionalFormatting>
  <conditionalFormatting sqref="K32:K42">
    <cfRule type="colorScale" priority="35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34">
      <colorScale>
        <cfvo type="min"/>
        <cfvo type="max"/>
        <color rgb="FFFFEF9C"/>
        <color rgb="FF63BE7B"/>
      </colorScale>
    </cfRule>
  </conditionalFormatting>
  <conditionalFormatting sqref="L54:L64">
    <cfRule type="colorScale" priority="33">
      <colorScale>
        <cfvo type="min"/>
        <cfvo type="max"/>
        <color rgb="FFFFEF9C"/>
        <color rgb="FF63BE7B"/>
      </colorScale>
    </cfRule>
  </conditionalFormatting>
  <conditionalFormatting sqref="K54:K64">
    <cfRule type="colorScale" priority="32">
      <colorScale>
        <cfvo type="min"/>
        <cfvo type="max"/>
        <color rgb="FFFFEF9C"/>
        <color rgb="FF63BE7B"/>
      </colorScale>
    </cfRule>
  </conditionalFormatting>
  <conditionalFormatting sqref="M16:M31">
    <cfRule type="colorScale" priority="31">
      <colorScale>
        <cfvo type="min"/>
        <cfvo type="max"/>
        <color rgb="FFFFEF9C"/>
        <color rgb="FF63BE7B"/>
      </colorScale>
    </cfRule>
  </conditionalFormatting>
  <conditionalFormatting sqref="M32:M42">
    <cfRule type="colorScale" priority="29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:M53">
    <cfRule type="colorScale" priority="28">
      <colorScale>
        <cfvo type="min"/>
        <cfvo type="max"/>
        <color rgb="FFFFEF9C"/>
        <color rgb="FF63BE7B"/>
      </colorScale>
    </cfRule>
  </conditionalFormatting>
  <conditionalFormatting sqref="M54:M64">
    <cfRule type="colorScale" priority="27">
      <colorScale>
        <cfvo type="min"/>
        <cfvo type="max"/>
        <color rgb="FFFFEF9C"/>
        <color rgb="FF63BE7B"/>
      </colorScale>
    </cfRule>
  </conditionalFormatting>
  <conditionalFormatting sqref="AK16:AK31">
    <cfRule type="colorScale" priority="26">
      <colorScale>
        <cfvo type="min"/>
        <cfvo type="max"/>
        <color rgb="FFFFEF9C"/>
        <color rgb="FF63BE7B"/>
      </colorScale>
    </cfRule>
  </conditionalFormatting>
  <conditionalFormatting sqref="AL16:AL31">
    <cfRule type="colorScale" priority="25">
      <colorScale>
        <cfvo type="min"/>
        <cfvo type="max"/>
        <color rgb="FF63BE7B"/>
        <color rgb="FFFFEF9C"/>
      </colorScale>
    </cfRule>
  </conditionalFormatting>
  <conditionalFormatting sqref="AK32:AK42">
    <cfRule type="colorScale" priority="24">
      <colorScale>
        <cfvo type="min"/>
        <cfvo type="max"/>
        <color rgb="FFFFEF9C"/>
        <color rgb="FF63BE7B"/>
      </colorScale>
    </cfRule>
  </conditionalFormatting>
  <conditionalFormatting sqref="AL32:AL42">
    <cfRule type="colorScale" priority="23">
      <colorScale>
        <cfvo type="min"/>
        <cfvo type="max"/>
        <color rgb="FFFFEF9C"/>
        <color rgb="FF63BE7B"/>
      </colorScale>
    </cfRule>
  </conditionalFormatting>
  <conditionalFormatting sqref="AL43:AL53">
    <cfRule type="colorScale" priority="22">
      <colorScale>
        <cfvo type="min"/>
        <cfvo type="max"/>
        <color rgb="FF63BE7B"/>
        <color rgb="FFFFEF9C"/>
      </colorScale>
    </cfRule>
  </conditionalFormatting>
  <conditionalFormatting sqref="AL54:AL64">
    <cfRule type="colorScale" priority="21">
      <colorScale>
        <cfvo type="min"/>
        <cfvo type="max"/>
        <color rgb="FF63BE7B"/>
        <color rgb="FFFFEF9C"/>
      </colorScale>
    </cfRule>
  </conditionalFormatting>
  <conditionalFormatting sqref="AM54:AM64">
    <cfRule type="colorScale" priority="20">
      <colorScale>
        <cfvo type="min"/>
        <cfvo type="max"/>
        <color rgb="FFFFEF9C"/>
        <color rgb="FF63BE7B"/>
      </colorScale>
    </cfRule>
  </conditionalFormatting>
  <conditionalFormatting sqref="AP16:AP31">
    <cfRule type="colorScale" priority="19">
      <colorScale>
        <cfvo type="min"/>
        <cfvo type="max"/>
        <color rgb="FF63BE7B"/>
        <color rgb="FFFFEF9C"/>
      </colorScale>
    </cfRule>
  </conditionalFormatting>
  <conditionalFormatting sqref="AP32:AP42">
    <cfRule type="colorScale" priority="18">
      <colorScale>
        <cfvo type="min"/>
        <cfvo type="max"/>
        <color rgb="FF63BE7B"/>
        <color rgb="FFFFEF9C"/>
      </colorScale>
    </cfRule>
  </conditionalFormatting>
  <conditionalFormatting sqref="AP54:AP64">
    <cfRule type="colorScale" priority="17">
      <colorScale>
        <cfvo type="min"/>
        <cfvo type="max"/>
        <color rgb="FF63BE7B"/>
        <color rgb="FFFFEF9C"/>
      </colorScale>
    </cfRule>
  </conditionalFormatting>
  <conditionalFormatting sqref="AT54:AT64">
    <cfRule type="colorScale" priority="16">
      <colorScale>
        <cfvo type="min"/>
        <cfvo type="max"/>
        <color rgb="FFFFEF9C"/>
        <color rgb="FF63BE7B"/>
      </colorScale>
    </cfRule>
  </conditionalFormatting>
  <conditionalFormatting sqref="AI3:AI6">
    <cfRule type="colorScale" priority="15">
      <colorScale>
        <cfvo type="min"/>
        <cfvo type="max"/>
        <color rgb="FFFFEF9C"/>
        <color rgb="FF63BE7B"/>
      </colorScale>
    </cfRule>
  </conditionalFormatting>
  <conditionalFormatting sqref="O3:O6">
    <cfRule type="colorScale" priority="14">
      <colorScale>
        <cfvo type="min"/>
        <cfvo type="max"/>
        <color rgb="FF63BE7B"/>
        <color rgb="FFFFEF9C"/>
      </colorScale>
    </cfRule>
  </conditionalFormatting>
  <conditionalFormatting sqref="Q3:Q6">
    <cfRule type="colorScale" priority="13">
      <colorScale>
        <cfvo type="min"/>
        <cfvo type="max"/>
        <color rgb="FF63BE7B"/>
        <color rgb="FFFFEF9C"/>
      </colorScale>
    </cfRule>
  </conditionalFormatting>
  <conditionalFormatting sqref="R3:R6">
    <cfRule type="colorScale" priority="12">
      <colorScale>
        <cfvo type="min"/>
        <cfvo type="max"/>
        <color rgb="FF63BE7B"/>
        <color rgb="FFFFEF9C"/>
      </colorScale>
    </cfRule>
  </conditionalFormatting>
  <conditionalFormatting sqref="I8:I14">
    <cfRule type="colorScale" priority="8">
      <colorScale>
        <cfvo type="min"/>
        <cfvo type="max"/>
        <color rgb="FFFFEF9C"/>
        <color rgb="FF63BE7B"/>
      </colorScale>
    </cfRule>
  </conditionalFormatting>
  <conditionalFormatting sqref="J8:J14">
    <cfRule type="colorScale" priority="7">
      <colorScale>
        <cfvo type="min"/>
        <cfvo type="max"/>
        <color rgb="FFFFEF9C"/>
        <color rgb="FF63BE7B"/>
      </colorScale>
    </cfRule>
  </conditionalFormatting>
  <conditionalFormatting sqref="H8:H14">
    <cfRule type="colorScale" priority="6">
      <colorScale>
        <cfvo type="min"/>
        <cfvo type="max"/>
        <color rgb="FFFFEF9C"/>
        <color rgb="FF63BE7B"/>
      </colorScale>
    </cfRule>
  </conditionalFormatting>
  <conditionalFormatting sqref="O8:O14">
    <cfRule type="colorScale" priority="5">
      <colorScale>
        <cfvo type="min"/>
        <cfvo type="max"/>
        <color rgb="FF63BE7B"/>
        <color rgb="FFFFEF9C"/>
      </colorScale>
    </cfRule>
  </conditionalFormatting>
  <conditionalFormatting sqref="Q8:Q14">
    <cfRule type="colorScale" priority="4">
      <colorScale>
        <cfvo type="min"/>
        <cfvo type="max"/>
        <color rgb="FF63BE7B"/>
        <color rgb="FFFFEF9C"/>
      </colorScale>
    </cfRule>
  </conditionalFormatting>
  <conditionalFormatting sqref="R8:R14">
    <cfRule type="colorScale" priority="3">
      <colorScale>
        <cfvo type="min"/>
        <cfvo type="max"/>
        <color rgb="FF63BE7B"/>
        <color rgb="FFFFEF9C"/>
      </colorScale>
    </cfRule>
  </conditionalFormatting>
  <conditionalFormatting sqref="AI8:AI1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WebData">
                <anchor moveWithCells="1" siz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5" operator="containsText" id="{0EC9C8C8-4F60-4821-BEBA-A660C31BFEE2}">
            <xm:f>NOT(ISERROR(SEARCH($C$6,C1)))</xm:f>
            <xm:f>$C$6</xm:f>
            <x14:dxf>
              <fill>
                <patternFill>
                  <bgColor theme="4" tint="0.79998168889431442"/>
                </patternFill>
              </fill>
              <border>
                <left style="thin">
                  <color theme="8"/>
                </left>
                <right style="thin">
                  <color theme="8"/>
                </right>
                <top style="thin">
                  <color theme="8"/>
                </top>
                <bottom style="thin">
                  <color theme="8"/>
                </bottom>
                <vertical/>
                <horizontal/>
              </border>
            </x14:dxf>
          </x14:cfRule>
          <x14:cfRule type="containsText" priority="56" operator="containsText" id="{9BDD68D6-FE56-4C79-97C4-52B8471FCA60}">
            <xm:f>NOT(ISERROR(SEARCH($C$5,C1)))</xm:f>
            <xm:f>$C$5</xm:f>
            <x14:dxf>
              <fill>
                <patternFill>
                  <bgColor rgb="FFE1A3DE"/>
                </patternFill>
              </fill>
              <border>
                <left style="thin">
                  <color rgb="FF7030A0"/>
                </left>
                <right style="thin">
                  <color rgb="FF7030A0"/>
                </right>
                <top style="thin">
                  <color rgb="FF7030A0"/>
                </top>
                <bottom style="thin">
                  <color rgb="FF7030A0"/>
                </bottom>
                <vertical/>
                <horizontal/>
              </border>
            </x14:dxf>
          </x14:cfRule>
          <x14:cfRule type="containsText" priority="57" operator="containsText" id="{13566BE5-C90D-4D66-9EE5-E904F743662D}">
            <xm:f>NOT(ISERROR(SEARCH($C$4,C1)))</xm:f>
            <xm:f>$C$4</xm:f>
            <x14:dxf>
              <fill>
                <patternFill>
                  <bgColor theme="9" tint="0.59996337778862885"/>
                </patternFill>
              </fill>
              <border>
                <left style="thin">
                  <color theme="9"/>
                </left>
                <right style="thin">
                  <color theme="9"/>
                </right>
                <top style="thin">
                  <color theme="9"/>
                </top>
                <bottom style="thin">
                  <color theme="9"/>
                </bottom>
                <vertical/>
                <horizontal/>
              </border>
            </x14:dxf>
          </x14:cfRule>
          <x14:cfRule type="containsText" priority="58" operator="containsText" id="{32CA59A4-530D-48FC-930F-8659973E8745}">
            <xm:f>NOT(ISERROR(SEARCH($C$3,C1)))</xm:f>
            <xm:f>$C$3</xm:f>
            <x14:dxf>
              <fill>
                <patternFill>
                  <bgColor theme="7" tint="0.59996337778862885"/>
                </patternFill>
              </fill>
              <border>
                <left style="thin">
                  <color theme="5"/>
                </left>
                <right style="thin">
                  <color theme="5"/>
                </right>
                <top style="thin">
                  <color theme="5"/>
                </top>
                <bottom style="thin">
                  <color theme="5"/>
                </bottom>
                <vertical/>
                <horizontal/>
              </border>
            </x14:dxf>
          </x14:cfRule>
          <xm:sqref>C1:C1048576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B6A099-3C63-43A2-ACCF-240265FD32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Calculator</vt:lpstr>
      <vt:lpstr>Test</vt:lpstr>
      <vt:lpstr>TofuCookies</vt:lpstr>
      <vt:lpstr>TofuLifestyle</vt:lpstr>
      <vt:lpstr>TofuShake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Beard</dc:creator>
  <cp:lastModifiedBy>Christopher Denq</cp:lastModifiedBy>
  <dcterms:created xsi:type="dcterms:W3CDTF">2018-10-04T03:54:52Z</dcterms:created>
  <dcterms:modified xsi:type="dcterms:W3CDTF">2023-03-16T14:25:26Z</dcterms:modified>
</cp:coreProperties>
</file>